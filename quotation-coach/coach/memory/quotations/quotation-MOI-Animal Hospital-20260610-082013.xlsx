
<file path=[Content_Types].xml><?xml version="1.0" encoding="utf-8"?>
<Types xmlns="http://schemas.openxmlformats.org/package/2006/content-types">
  <Default Extension="png" ContentType="image/png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Lenovo\Desktop\MOI Site survey\personal-coach\quotation-coach\coach\memory\quotations\"/>
    </mc:Choice>
  </mc:AlternateContent>
  <xr:revisionPtr revIDLastSave="0" documentId="13_ncr:1_{B6B677C6-8317-479B-9005-77B6C268EC87}" xr6:coauthVersionLast="36" xr6:coauthVersionMax="36" xr10:uidLastSave="{00000000-0000-0000-0000-000000000000}"/>
  <bookViews>
    <workbookView xWindow="0" yWindow="0" windowWidth="19200" windowHeight="11265" xr2:uid="{00000000-000D-0000-FFFF-FFFF00000000}"/>
  </bookViews>
  <sheets>
    <sheet name="Quotation" sheetId="1" r:id="rId1"/>
  </sheets>
  <calcPr calcId="179021"/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10" i="1"/>
</calcChain>
</file>

<file path=xl/sharedStrings.xml><?xml version="1.0" encoding="utf-8"?>
<sst xmlns="http://schemas.openxmlformats.org/spreadsheetml/2006/main" count="81" uniqueCount="79">
  <si>
    <t>CCTV &amp; Smart Home Security Systems — MOI SSD Compliant (Law No. 9/2011)</t>
  </si>
  <si>
    <t>Salwa Road, Doha, Qatar | Tel: +974 44691741 | info@starfoxsecu.com | www.starfoxsecu.com</t>
  </si>
  <si>
    <t>QUOTATION</t>
  </si>
  <si>
    <t>Date: 2026-06-10  |  120-day retention | RAID 5</t>
  </si>
  <si>
    <t>Customer: Animal Hospital</t>
  </si>
  <si>
    <t>System: 30 x 2MP IR Fixed Bullet Network Camera + 2 x 4MP ANPR/LPR Bullet Camera + 1 x 4MP KPOI Camera with Lens</t>
  </si>
  <si>
    <t>#</t>
  </si>
  <si>
    <t>Model</t>
  </si>
  <si>
    <t>Image</t>
  </si>
  <si>
    <t>Description</t>
  </si>
  <si>
    <t>Qty</t>
  </si>
  <si>
    <t>Unit Price (QAR)</t>
  </si>
  <si>
    <t>Amount (QAR)</t>
  </si>
  <si>
    <t>2MP IR Fixed Bullet Network Camera</t>
  </si>
  <si>
    <t>2MP bullet camera, H.265, Built-in IR (30m), 12V DC/PoE, IP67, IK10, WDR, vandal-proof</t>
  </si>
  <si>
    <t>4MP ANPR/LPR Bullet Camera</t>
  </si>
  <si>
    <t>4MP ANPR bullet camera, LPR technology, smart tracking, IP67, integrated IR, MOI-ANPR compliant</t>
  </si>
  <si>
    <t>4MP KPOI Camera with Lens</t>
  </si>
  <si>
    <t>4MP KPOI-approved camera, H.265, motorized lens, Built-in IR (50m), IP67, IK10, WDR, analytics</t>
  </si>
  <si>
    <t>64 Channel 4K NVR (MOI Compliant)</t>
  </si>
  <si>
    <t>64ch NVR, 8 HDD bays up to 16TB each, RAID 0/1/5/6, H.265, P2P, AI by Camera: face detection, IVS, people counting</t>
  </si>
  <si>
    <t>16TB Surveillance HDD</t>
  </si>
  <si>
    <t>16TB SATA III, 24/7 continuous recording, 512MB cache, 5-year warranty x 7 (RAID 5 configured)</t>
  </si>
  <si>
    <t>24-Port Gigabit PoE+ Switch</t>
  </si>
  <si>
    <t>24-port Gigabit PoE+, 4 SFP uplinks, 400W budget, Layer 2 managed x 2</t>
  </si>
  <si>
    <t>42U Floor Mount Rack with Wheels</t>
  </si>
  <si>
    <t>42U standard server rack, tempered glass door, casters, cooling fans, side panels</t>
  </si>
  <si>
    <t>43 inch 4K UHD Monitor</t>
  </si>
  <si>
    <t>43" 4K UHD 3840x2160, HDMI 2.0, suitable for surveillance wall</t>
  </si>
  <si>
    <t>Dell OptiPlex CCTV Workstation</t>
  </si>
  <si>
    <t>Dell OptiPlex, i5, 16GB RAM, 512GB SSD + 2TB HDD, dual monitor support, VMS preloaded</t>
  </si>
  <si>
    <t>3KVA Rack-Type Online UPS</t>
  </si>
  <si>
    <t>3KVA/2700W online double-conversion UPS, 2U rack, LCD, pure sine wave, 1hr+ runtime for large system</t>
  </si>
  <si>
    <t>48V Extended Battery Cabinet for 3KVA UPS</t>
  </si>
  <si>
    <t>External battery for 3KVA Rack-Type Online UPS, 3 units for minimum 1hr runtime</t>
  </si>
  <si>
    <t>Wall Mount Camera Bracket</t>
  </si>
  <si>
    <t>Mounting brackets for 30 cameras</t>
  </si>
  <si>
    <t>1.5 Meter Galvanized Pole</t>
  </si>
  <si>
    <t>1.5m pole mount for 2 ANPR cameras</t>
  </si>
  <si>
    <t>Pole Mount Bracket for ANPR Cameras</t>
  </si>
  <si>
    <t>Pole mount brackets for 2 cameras</t>
  </si>
  <si>
    <t>Hanging/Pendant Mount Stand</t>
  </si>
  <si>
    <t>Hanging stands for 1 cameras</t>
  </si>
  <si>
    <t>CAT6 UTP Patch Cord</t>
  </si>
  <si>
    <t>CAT6 patch cords for connections</t>
  </si>
  <si>
    <t>1U Rack PDU (8 Outlet)</t>
  </si>
  <si>
    <t>1U 8-outlet PDU with surge protection, 16A, C13 outlets</t>
  </si>
  <si>
    <t>24-Port CAT6 Patch Panel</t>
  </si>
  <si>
    <t>24-port CAT6 UTP patch panel, 1U, T568A/B, color-coded</t>
  </si>
  <si>
    <t>1U Horizontal Cable Manager</t>
  </si>
  <si>
    <t>1U horizontal cable management panel with fingers</t>
  </si>
  <si>
    <t>HIK-Central P-ANPR 1-CH License</t>
  </si>
  <si>
    <t>ANPR license for 2 LPR cameras</t>
  </si>
  <si>
    <t>HIK-Central VMS Base License</t>
  </si>
  <si>
    <t>VMS base license</t>
  </si>
  <si>
    <t>Camera Installation &amp; Cabling</t>
  </si>
  <si>
    <t>Professional installation, cabling, conduit, configuration for 33 cameras</t>
  </si>
  <si>
    <t>NVR Configuration &amp; Setup</t>
  </si>
  <si>
    <t>NVR RAID setup, network configuration, system commissioning</t>
  </si>
  <si>
    <t>DSA/DIA Drawings, Documentation &amp; Approvals</t>
  </si>
  <si>
    <t>Full DSA/DIA CAD drawings, SSD portal submission, design approval, inspection coordination, 1-year AMC</t>
  </si>
  <si>
    <t>Annual Maintenance Contract (AMC)</t>
  </si>
  <si>
    <t>12-month AMC including cleaning, firmware updates, health checks, MOI compliance, repairs (33 cameras)</t>
  </si>
  <si>
    <t>Subtotal</t>
  </si>
  <si>
    <t>GRAND TOTAL</t>
  </si>
  <si>
    <t>TERMS &amp; CONDITIONS:</t>
  </si>
  <si>
    <t>1. All the above prices are in QAR (Qatari Riyals)</t>
  </si>
  <si>
    <t>2. Terms of payment: 50% upon signing the contract, 50% before installation and handover</t>
  </si>
  <si>
    <t>3. Warranty: 2 YEARS for NVR and Cameras</t>
  </si>
  <si>
    <t>4. System designed and installed per MOI SSD requirements (Law No. 9 of 2011)</t>
  </si>
  <si>
    <t>5. Storage retention: 120 days continuous recording with RAID 5 configuration</t>
  </si>
  <si>
    <t>6. System includes minimum 1-hour UPS backup as per MOI requirements</t>
  </si>
  <si>
    <t>7. Annual Maintenance Contract (AMC) is mandatory for MOI compliance</t>
  </si>
  <si>
    <t>8. Any changes or additions must be approved via MOI SSD portal</t>
  </si>
  <si>
    <t>9. Any civil, mechanical, and electrical work if any will be charged accordingly</t>
  </si>
  <si>
    <t>10. Materials prices may vary at the time of installation due to current regional situation</t>
  </si>
  <si>
    <t>11. This quotation is subject to STARFOX standard terms and conditions</t>
  </si>
  <si>
    <t>12. Price and specifications may change without prior notice</t>
  </si>
  <si>
    <t xml:space="preserve">2MP fixed bullet network camera , H.265 codec , high compression rate ,  Built-in IR LED, max IR
distance: 30 m, 12V DC/PoE power support, IP67
protection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</si>
</sst>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sz val="10"/>
      <color rgb="FF555555"/>
      <name val="Calibri"/>
    </font>
    <font>
      <sz val="9"/>
      <color rgb="FF888888"/>
      <name val="Calibri"/>
    </font>
    <font>
      <b/>
      <sz val="14"/>
      <color rgb="FF1F4E79"/>
      <name val="Calibri"/>
    </font>
    <font>
      <sz val="9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2"/>
      <name val="Calibri"/>
    </font>
    <font>
      <b/>
      <sz val="10"/>
      <name val="Calibri"/>
    </font>
    <font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double">
        <color auto="1"/>
      </top>
      <bottom style="thin">
        <color auto="1"/>
      </bottom>
      <diagonal/>
    </border>
    <border>
      <left/>
      <right style="medium">
        <color indexed="64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3" fontId="8" fillId="0" borderId="1" xfId="0" applyNumberFormat="1" applyFont="1" applyBorder="1" applyAlignment="1">
      <alignment horizontal="right" vertical="center"/>
    </xf>
    <xf numFmtId="0" fontId="0" fillId="0" borderId="2" xfId="0" applyBorder="1"/>
    <xf numFmtId="3" fontId="4" fillId="0" borderId="2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0" xfId="0" applyBorder="1"/>
    <xf numFmtId="0" fontId="1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3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4" fillId="0" borderId="7" xfId="0" applyFont="1" applyBorder="1"/>
    <xf numFmtId="0" fontId="5" fillId="0" borderId="0" xfId="0" applyFont="1" applyBorder="1" applyAlignment="1">
      <alignment horizontal="right" vertical="center"/>
    </xf>
    <xf numFmtId="0" fontId="6" fillId="0" borderId="7" xfId="0" applyFont="1" applyBorder="1"/>
    <xf numFmtId="0" fontId="2" fillId="0" borderId="7" xfId="0" applyFont="1" applyBorder="1"/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3" fontId="8" fillId="0" borderId="10" xfId="0" applyNumberFormat="1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0" fillId="0" borderId="10" xfId="0" applyBorder="1"/>
    <xf numFmtId="0" fontId="4" fillId="0" borderId="11" xfId="0" applyFont="1" applyBorder="1" applyAlignment="1">
      <alignment horizontal="righ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0" fillId="0" borderId="7" xfId="0" applyFont="1" applyBorder="1"/>
    <xf numFmtId="0" fontId="11" fillId="0" borderId="7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fif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11</xdr:row>
      <xdr:rowOff>171450</xdr:rowOff>
    </xdr:from>
    <xdr:ext cx="523875" cy="523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19375" y="4819650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371475</xdr:colOff>
      <xdr:row>12</xdr:row>
      <xdr:rowOff>190500</xdr:rowOff>
    </xdr:from>
    <xdr:ext cx="523875" cy="523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38425" y="5657850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276225</xdr:colOff>
      <xdr:row>13</xdr:row>
      <xdr:rowOff>200025</xdr:rowOff>
    </xdr:from>
    <xdr:ext cx="523875" cy="523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43175" y="6486525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457200</xdr:colOff>
      <xdr:row>14</xdr:row>
      <xdr:rowOff>333375</xdr:rowOff>
    </xdr:from>
    <xdr:ext cx="333375" cy="2952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724150" y="7439025"/>
          <a:ext cx="333375" cy="295275"/>
        </a:xfrm>
        <a:prstGeom prst="rect">
          <a:avLst/>
        </a:prstGeom>
      </xdr:spPr>
    </xdr:pic>
    <xdr:clientData/>
  </xdr:oneCellAnchor>
  <xdr:oneCellAnchor>
    <xdr:from>
      <xdr:col>2</xdr:col>
      <xdr:colOff>314325</xdr:colOff>
      <xdr:row>15</xdr:row>
      <xdr:rowOff>190500</xdr:rowOff>
    </xdr:from>
    <xdr:ext cx="523875" cy="523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581275" y="8115300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352425</xdr:colOff>
      <xdr:row>16</xdr:row>
      <xdr:rowOff>95250</xdr:rowOff>
    </xdr:from>
    <xdr:ext cx="523875" cy="523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19375" y="8839200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381000</xdr:colOff>
      <xdr:row>18</xdr:row>
      <xdr:rowOff>123825</xdr:rowOff>
    </xdr:from>
    <xdr:ext cx="523875" cy="523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647950" y="10506075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333375</xdr:colOff>
      <xdr:row>19</xdr:row>
      <xdr:rowOff>190500</xdr:rowOff>
    </xdr:from>
    <xdr:ext cx="523875" cy="523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600325" y="11391900"/>
          <a:ext cx="523875" cy="523875"/>
        </a:xfrm>
        <a:prstGeom prst="rect">
          <a:avLst/>
        </a:prstGeom>
      </xdr:spPr>
    </xdr:pic>
    <xdr:clientData/>
  </xdr:oneCellAnchor>
  <xdr:oneCellAnchor>
    <xdr:from>
      <xdr:col>2</xdr:col>
      <xdr:colOff>295275</xdr:colOff>
      <xdr:row>24</xdr:row>
      <xdr:rowOff>123825</xdr:rowOff>
    </xdr:from>
    <xdr:ext cx="523875" cy="523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562225" y="15420975"/>
          <a:ext cx="523875" cy="523875"/>
        </a:xfrm>
        <a:prstGeom prst="rect">
          <a:avLst/>
        </a:prstGeom>
      </xdr:spPr>
    </xdr:pic>
    <xdr:clientData/>
  </xdr:oneCellAnchor>
  <xdr:twoCellAnchor editAs="oneCell">
    <xdr:from>
      <xdr:col>2</xdr:col>
      <xdr:colOff>428625</xdr:colOff>
      <xdr:row>9</xdr:row>
      <xdr:rowOff>257175</xdr:rowOff>
    </xdr:from>
    <xdr:to>
      <xdr:col>2</xdr:col>
      <xdr:colOff>781050</xdr:colOff>
      <xdr:row>9</xdr:row>
      <xdr:rowOff>614472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65770B-4F35-472A-BA48-2CAF78AF7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95575" y="3267075"/>
          <a:ext cx="352425" cy="357297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10</xdr:row>
      <xdr:rowOff>133350</xdr:rowOff>
    </xdr:from>
    <xdr:to>
      <xdr:col>2</xdr:col>
      <xdr:colOff>895350</xdr:colOff>
      <xdr:row>10</xdr:row>
      <xdr:rowOff>720090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73142A7-0E96-4411-A712-C5E26E14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962400"/>
          <a:ext cx="533400" cy="58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9525</xdr:colOff>
      <xdr:row>1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72F8337-7803-4C5E-8BE9-9DD278771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91725" cy="147637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20</xdr:row>
      <xdr:rowOff>133350</xdr:rowOff>
    </xdr:from>
    <xdr:to>
      <xdr:col>2</xdr:col>
      <xdr:colOff>942975</xdr:colOff>
      <xdr:row>20</xdr:row>
      <xdr:rowOff>709441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796C4FA-0B4B-49B8-A8F2-DDBDC7E3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12153900"/>
          <a:ext cx="685800" cy="576091"/>
        </a:xfrm>
        <a:prstGeom prst="rect">
          <a:avLst/>
        </a:prstGeom>
      </xdr:spPr>
    </xdr:pic>
    <xdr:clientData/>
  </xdr:twoCellAnchor>
  <xdr:oneCellAnchor>
    <xdr:from>
      <xdr:col>2</xdr:col>
      <xdr:colOff>371475</xdr:colOff>
      <xdr:row>26</xdr:row>
      <xdr:rowOff>150495</xdr:rowOff>
    </xdr:from>
    <xdr:ext cx="533400" cy="533400"/>
    <xdr:pic>
      <xdr:nvPicPr>
        <xdr:cNvPr id="20" name="Picture 19">
          <a:extLst>
            <a:ext uri="{FF2B5EF4-FFF2-40B4-BE49-F238E27FC236}">
              <a16:creationId xmlns:a16="http://schemas.microsoft.com/office/drawing/2014/main" id="{F3FC6A7C-CF1C-46DE-A7F2-DD179B8D9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17085945"/>
          <a:ext cx="533400" cy="533400"/>
        </a:xfrm>
        <a:prstGeom prst="rect">
          <a:avLst/>
        </a:prstGeom>
      </xdr:spPr>
    </xdr:pic>
    <xdr:clientData/>
  </xdr:oneCellAnchor>
  <xdr:oneCellAnchor>
    <xdr:from>
      <xdr:col>2</xdr:col>
      <xdr:colOff>400050</xdr:colOff>
      <xdr:row>31</xdr:row>
      <xdr:rowOff>238125</xdr:rowOff>
    </xdr:from>
    <xdr:ext cx="344228" cy="304800"/>
    <xdr:pic>
      <xdr:nvPicPr>
        <xdr:cNvPr id="21" name="image19.jpeg">
          <a:extLst>
            <a:ext uri="{FF2B5EF4-FFF2-40B4-BE49-F238E27FC236}">
              <a16:creationId xmlns:a16="http://schemas.microsoft.com/office/drawing/2014/main" id="{CA7210B7-6E12-44CE-BC4F-488BFA4FB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21269325"/>
          <a:ext cx="344228" cy="304800"/>
        </a:xfrm>
        <a:prstGeom prst="rect">
          <a:avLst/>
        </a:prstGeom>
      </xdr:spPr>
    </xdr:pic>
    <xdr:clientData/>
  </xdr:oneCellAnchor>
  <xdr:twoCellAnchor editAs="oneCell">
    <xdr:from>
      <xdr:col>2</xdr:col>
      <xdr:colOff>285750</xdr:colOff>
      <xdr:row>28</xdr:row>
      <xdr:rowOff>85725</xdr:rowOff>
    </xdr:from>
    <xdr:to>
      <xdr:col>2</xdr:col>
      <xdr:colOff>981075</xdr:colOff>
      <xdr:row>28</xdr:row>
      <xdr:rowOff>781050</xdr:rowOff>
    </xdr:to>
    <xdr:pic>
      <xdr:nvPicPr>
        <xdr:cNvPr id="22" name="Picture 21" descr="1U Rack Mount Cable Manager">
          <a:extLst>
            <a:ext uri="{FF2B5EF4-FFF2-40B4-BE49-F238E27FC236}">
              <a16:creationId xmlns:a16="http://schemas.microsoft.com/office/drawing/2014/main" id="{209F79AD-671D-47E6-B588-C3C7E9EB5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186594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27</xdr:row>
      <xdr:rowOff>76200</xdr:rowOff>
    </xdr:from>
    <xdr:to>
      <xdr:col>2</xdr:col>
      <xdr:colOff>971550</xdr:colOff>
      <xdr:row>27</xdr:row>
      <xdr:rowOff>781050</xdr:rowOff>
    </xdr:to>
    <xdr:pic>
      <xdr:nvPicPr>
        <xdr:cNvPr id="23" name="Picture 22" descr="1U 24-Port Blank Patch Panel">
          <a:extLst>
            <a:ext uri="{FF2B5EF4-FFF2-40B4-BE49-F238E27FC236}">
              <a16:creationId xmlns:a16="http://schemas.microsoft.com/office/drawing/2014/main" id="{CAEC880C-9C59-4589-A736-4C38DD17B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17830800"/>
          <a:ext cx="7048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25</xdr:row>
      <xdr:rowOff>47625</xdr:rowOff>
    </xdr:from>
    <xdr:to>
      <xdr:col>2</xdr:col>
      <xdr:colOff>876300</xdr:colOff>
      <xdr:row>25</xdr:row>
      <xdr:rowOff>704850</xdr:rowOff>
    </xdr:to>
    <xdr:pic>
      <xdr:nvPicPr>
        <xdr:cNvPr id="24" name="Picture 23" descr="HDMI 2.0 Cable">
          <a:extLst>
            <a:ext uri="{FF2B5EF4-FFF2-40B4-BE49-F238E27FC236}">
              <a16:creationId xmlns:a16="http://schemas.microsoft.com/office/drawing/2014/main" id="{C51B8752-2C10-4B5B-A577-4D3E4776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16163925"/>
          <a:ext cx="6572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22</xdr:row>
      <xdr:rowOff>95250</xdr:rowOff>
    </xdr:from>
    <xdr:to>
      <xdr:col>2</xdr:col>
      <xdr:colOff>847725</xdr:colOff>
      <xdr:row>22</xdr:row>
      <xdr:rowOff>723900</xdr:rowOff>
    </xdr:to>
    <xdr:pic>
      <xdr:nvPicPr>
        <xdr:cNvPr id="25" name="Picture 24" descr="1-2M adjustable metal bracket">
          <a:extLst>
            <a:ext uri="{FF2B5EF4-FFF2-40B4-BE49-F238E27FC236}">
              <a16:creationId xmlns:a16="http://schemas.microsoft.com/office/drawing/2014/main" id="{1A056804-B19D-412A-9422-F023CE2C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13754100"/>
          <a:ext cx="6286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219075</xdr:colOff>
      <xdr:row>21</xdr:row>
      <xdr:rowOff>152400</xdr:rowOff>
    </xdr:from>
    <xdr:to>
      <xdr:col>2</xdr:col>
      <xdr:colOff>676275</xdr:colOff>
      <xdr:row>21</xdr:row>
      <xdr:rowOff>609600</xdr:rowOff>
    </xdr:to>
    <xdr:pic>
      <xdr:nvPicPr>
        <xdr:cNvPr id="26" name="Picture 25" descr="Adjustable PTZ metal mount bracket">
          <a:extLst>
            <a:ext uri="{FF2B5EF4-FFF2-40B4-BE49-F238E27FC236}">
              <a16:creationId xmlns:a16="http://schemas.microsoft.com/office/drawing/2014/main" id="{7684FADF-8551-4B35-A834-C8FB040C7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12992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95250</xdr:colOff>
      <xdr:row>17</xdr:row>
      <xdr:rowOff>76200</xdr:rowOff>
    </xdr:from>
    <xdr:to>
      <xdr:col>2</xdr:col>
      <xdr:colOff>994658</xdr:colOff>
      <xdr:row>17</xdr:row>
      <xdr:rowOff>693419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E3F44C6-4FD1-40AA-9221-5A8A19EE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362200" y="9639300"/>
          <a:ext cx="899408" cy="617219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23</xdr:row>
      <xdr:rowOff>123825</xdr:rowOff>
    </xdr:from>
    <xdr:to>
      <xdr:col>2</xdr:col>
      <xdr:colOff>790575</xdr:colOff>
      <xdr:row>23</xdr:row>
      <xdr:rowOff>657225</xdr:rowOff>
    </xdr:to>
    <xdr:pic>
      <xdr:nvPicPr>
        <xdr:cNvPr id="28" name="Picture 27" descr="https://secuview.com/wp-content/uploads/3-183.jpg">
          <a:extLst>
            <a:ext uri="{FF2B5EF4-FFF2-40B4-BE49-F238E27FC236}">
              <a16:creationId xmlns:a16="http://schemas.microsoft.com/office/drawing/2014/main" id="{32E5659B-B8F9-4C4A-9E23-D5A7BEA1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125" y="14601825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7" workbookViewId="0">
      <selection activeCell="A53" sqref="A53:G53"/>
    </sheetView>
  </sheetViews>
  <sheetFormatPr defaultRowHeight="15" x14ac:dyDescent="0.25"/>
  <cols>
    <col min="1" max="1" width="6" customWidth="1"/>
    <col min="2" max="2" width="28" customWidth="1"/>
    <col min="3" max="3" width="18.5703125" customWidth="1"/>
    <col min="4" max="4" width="63.28515625" customWidth="1"/>
    <col min="5" max="5" width="10.85546875" customWidth="1"/>
    <col min="6" max="6" width="12.28515625" customWidth="1"/>
    <col min="7" max="7" width="10.7109375" customWidth="1"/>
  </cols>
  <sheetData>
    <row r="1" spans="1:7" ht="113.25" customHeight="1" x14ac:dyDescent="0.25">
      <c r="A1" s="13"/>
      <c r="B1" s="14"/>
      <c r="C1" s="14"/>
      <c r="D1" s="14"/>
      <c r="E1" s="14"/>
      <c r="F1" s="14"/>
      <c r="G1" s="15"/>
    </row>
    <row r="2" spans="1:7" x14ac:dyDescent="0.25">
      <c r="A2" s="16" t="s">
        <v>0</v>
      </c>
      <c r="B2" s="11"/>
      <c r="C2" s="11"/>
      <c r="D2" s="11"/>
      <c r="E2" s="11"/>
      <c r="F2" s="11"/>
      <c r="G2" s="17"/>
    </row>
    <row r="3" spans="1:7" x14ac:dyDescent="0.25">
      <c r="A3" s="18" t="s">
        <v>1</v>
      </c>
      <c r="B3" s="11"/>
      <c r="C3" s="11"/>
      <c r="D3" s="11"/>
      <c r="E3" s="11"/>
      <c r="F3" s="11"/>
      <c r="G3" s="17"/>
    </row>
    <row r="4" spans="1:7" x14ac:dyDescent="0.25">
      <c r="A4" s="19"/>
      <c r="B4" s="12"/>
      <c r="C4" s="12"/>
      <c r="D4" s="12"/>
      <c r="E4" s="12"/>
      <c r="F4" s="12"/>
      <c r="G4" s="20"/>
    </row>
    <row r="5" spans="1:7" ht="18.75" x14ac:dyDescent="0.3">
      <c r="A5" s="21" t="s">
        <v>2</v>
      </c>
      <c r="B5" s="11"/>
      <c r="C5" s="11"/>
      <c r="D5" s="22" t="s">
        <v>3</v>
      </c>
      <c r="E5" s="11"/>
      <c r="F5" s="11"/>
      <c r="G5" s="17"/>
    </row>
    <row r="6" spans="1:7" x14ac:dyDescent="0.25">
      <c r="A6" s="23" t="s">
        <v>4</v>
      </c>
      <c r="B6" s="11"/>
      <c r="C6" s="11"/>
      <c r="D6" s="11"/>
      <c r="E6" s="11"/>
      <c r="F6" s="11"/>
      <c r="G6" s="17"/>
    </row>
    <row r="7" spans="1:7" x14ac:dyDescent="0.25">
      <c r="A7" s="24" t="s">
        <v>5</v>
      </c>
      <c r="B7" s="11"/>
      <c r="C7" s="11"/>
      <c r="D7" s="11"/>
      <c r="E7" s="11"/>
      <c r="F7" s="11"/>
      <c r="G7" s="17"/>
    </row>
    <row r="8" spans="1:7" x14ac:dyDescent="0.25">
      <c r="A8" s="19"/>
      <c r="B8" s="12"/>
      <c r="C8" s="12"/>
      <c r="D8" s="12"/>
      <c r="E8" s="12"/>
      <c r="F8" s="12"/>
      <c r="G8" s="20"/>
    </row>
    <row r="9" spans="1:7" ht="30" x14ac:dyDescent="0.25">
      <c r="A9" s="25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26" t="s">
        <v>12</v>
      </c>
    </row>
    <row r="10" spans="1:7" ht="65.099999999999994" customHeight="1" x14ac:dyDescent="0.25">
      <c r="A10" s="27">
        <v>1</v>
      </c>
      <c r="B10" s="3" t="s">
        <v>13</v>
      </c>
      <c r="C10" s="4"/>
      <c r="D10" s="3" t="s">
        <v>14</v>
      </c>
      <c r="E10" s="2">
        <v>26</v>
      </c>
      <c r="F10" s="5">
        <v>350</v>
      </c>
      <c r="G10" s="28">
        <f>E10*F10</f>
        <v>9100</v>
      </c>
    </row>
    <row r="11" spans="1:7" ht="65.099999999999994" customHeight="1" x14ac:dyDescent="0.25">
      <c r="A11" s="27">
        <v>2</v>
      </c>
      <c r="B11" s="3" t="s">
        <v>13</v>
      </c>
      <c r="C11" s="4"/>
      <c r="D11" s="3" t="s">
        <v>78</v>
      </c>
      <c r="E11" s="2">
        <v>4</v>
      </c>
      <c r="F11" s="5">
        <v>270</v>
      </c>
      <c r="G11" s="28">
        <f t="shared" ref="G11:G35" si="0">E11*F11</f>
        <v>1080</v>
      </c>
    </row>
    <row r="12" spans="1:7" ht="65.099999999999994" customHeight="1" x14ac:dyDescent="0.25">
      <c r="A12" s="27">
        <v>2</v>
      </c>
      <c r="B12" s="3" t="s">
        <v>15</v>
      </c>
      <c r="C12" s="4"/>
      <c r="D12" s="3" t="s">
        <v>16</v>
      </c>
      <c r="E12" s="2">
        <v>2</v>
      </c>
      <c r="F12" s="5">
        <v>2500</v>
      </c>
      <c r="G12" s="28">
        <f t="shared" si="0"/>
        <v>5000</v>
      </c>
    </row>
    <row r="13" spans="1:7" ht="65.099999999999994" customHeight="1" x14ac:dyDescent="0.25">
      <c r="A13" s="27">
        <v>3</v>
      </c>
      <c r="B13" s="3" t="s">
        <v>17</v>
      </c>
      <c r="C13" s="4"/>
      <c r="D13" s="3" t="s">
        <v>18</v>
      </c>
      <c r="E13" s="2">
        <v>1</v>
      </c>
      <c r="F13" s="5">
        <v>1750</v>
      </c>
      <c r="G13" s="28">
        <f t="shared" si="0"/>
        <v>1750</v>
      </c>
    </row>
    <row r="14" spans="1:7" ht="65.099999999999994" customHeight="1" x14ac:dyDescent="0.25">
      <c r="A14" s="27">
        <v>4</v>
      </c>
      <c r="B14" s="3" t="s">
        <v>19</v>
      </c>
      <c r="C14" s="4"/>
      <c r="D14" s="3" t="s">
        <v>20</v>
      </c>
      <c r="E14" s="2">
        <v>1</v>
      </c>
      <c r="F14" s="5">
        <v>8700</v>
      </c>
      <c r="G14" s="28">
        <f t="shared" si="0"/>
        <v>8700</v>
      </c>
    </row>
    <row r="15" spans="1:7" ht="65.099999999999994" customHeight="1" x14ac:dyDescent="0.25">
      <c r="A15" s="27">
        <v>5</v>
      </c>
      <c r="B15" s="3" t="s">
        <v>21</v>
      </c>
      <c r="C15" s="4"/>
      <c r="D15" s="3" t="s">
        <v>22</v>
      </c>
      <c r="E15" s="2">
        <v>7</v>
      </c>
      <c r="F15" s="5">
        <v>2100</v>
      </c>
      <c r="G15" s="28">
        <f t="shared" si="0"/>
        <v>14700</v>
      </c>
    </row>
    <row r="16" spans="1:7" ht="65.099999999999994" customHeight="1" x14ac:dyDescent="0.25">
      <c r="A16" s="27">
        <v>6</v>
      </c>
      <c r="B16" s="3" t="s">
        <v>23</v>
      </c>
      <c r="C16" s="4"/>
      <c r="D16" s="3" t="s">
        <v>24</v>
      </c>
      <c r="E16" s="2">
        <v>2</v>
      </c>
      <c r="F16" s="5">
        <v>1200</v>
      </c>
      <c r="G16" s="28">
        <f t="shared" si="0"/>
        <v>2400</v>
      </c>
    </row>
    <row r="17" spans="1:7" ht="65.099999999999994" customHeight="1" x14ac:dyDescent="0.25">
      <c r="A17" s="27">
        <v>7</v>
      </c>
      <c r="B17" s="3" t="s">
        <v>25</v>
      </c>
      <c r="C17" s="4"/>
      <c r="D17" s="3" t="s">
        <v>26</v>
      </c>
      <c r="E17" s="2">
        <v>1</v>
      </c>
      <c r="F17" s="5">
        <v>2200</v>
      </c>
      <c r="G17" s="28">
        <f t="shared" si="0"/>
        <v>2200</v>
      </c>
    </row>
    <row r="18" spans="1:7" ht="65.099999999999994" customHeight="1" x14ac:dyDescent="0.25">
      <c r="A18" s="27">
        <v>8</v>
      </c>
      <c r="B18" s="3" t="s">
        <v>27</v>
      </c>
      <c r="C18" s="4"/>
      <c r="D18" s="3" t="s">
        <v>28</v>
      </c>
      <c r="E18" s="2">
        <v>1</v>
      </c>
      <c r="F18" s="5">
        <v>1800</v>
      </c>
      <c r="G18" s="28">
        <f t="shared" si="0"/>
        <v>1800</v>
      </c>
    </row>
    <row r="19" spans="1:7" ht="65.099999999999994" customHeight="1" x14ac:dyDescent="0.25">
      <c r="A19" s="27">
        <v>9</v>
      </c>
      <c r="B19" s="3" t="s">
        <v>29</v>
      </c>
      <c r="C19" s="4"/>
      <c r="D19" s="3" t="s">
        <v>30</v>
      </c>
      <c r="E19" s="2">
        <v>1</v>
      </c>
      <c r="F19" s="5">
        <v>4200</v>
      </c>
      <c r="G19" s="28">
        <f t="shared" si="0"/>
        <v>4200</v>
      </c>
    </row>
    <row r="20" spans="1:7" ht="65.099999999999994" customHeight="1" x14ac:dyDescent="0.25">
      <c r="A20" s="27">
        <v>10</v>
      </c>
      <c r="B20" s="3" t="s">
        <v>31</v>
      </c>
      <c r="C20" s="4"/>
      <c r="D20" s="3" t="s">
        <v>32</v>
      </c>
      <c r="E20" s="2">
        <v>1</v>
      </c>
      <c r="F20" s="5">
        <v>2200</v>
      </c>
      <c r="G20" s="28">
        <f t="shared" si="0"/>
        <v>2200</v>
      </c>
    </row>
    <row r="21" spans="1:7" ht="65.099999999999994" customHeight="1" x14ac:dyDescent="0.25">
      <c r="A21" s="27">
        <v>11</v>
      </c>
      <c r="B21" s="3" t="s">
        <v>33</v>
      </c>
      <c r="C21" s="4"/>
      <c r="D21" s="3" t="s">
        <v>34</v>
      </c>
      <c r="E21" s="2">
        <v>3</v>
      </c>
      <c r="F21" s="5">
        <v>1800</v>
      </c>
      <c r="G21" s="28">
        <f t="shared" si="0"/>
        <v>5400</v>
      </c>
    </row>
    <row r="22" spans="1:7" ht="65.099999999999994" customHeight="1" x14ac:dyDescent="0.25">
      <c r="A22" s="27">
        <v>12</v>
      </c>
      <c r="B22" s="3" t="s">
        <v>35</v>
      </c>
      <c r="C22" s="12"/>
      <c r="D22" s="3" t="s">
        <v>36</v>
      </c>
      <c r="E22" s="2">
        <v>30</v>
      </c>
      <c r="F22" s="5">
        <v>100</v>
      </c>
      <c r="G22" s="28">
        <f t="shared" si="0"/>
        <v>3000</v>
      </c>
    </row>
    <row r="23" spans="1:7" ht="65.099999999999994" customHeight="1" x14ac:dyDescent="0.25">
      <c r="A23" s="27">
        <v>13</v>
      </c>
      <c r="B23" s="3" t="s">
        <v>37</v>
      </c>
      <c r="C23" s="12"/>
      <c r="D23" s="3" t="s">
        <v>38</v>
      </c>
      <c r="E23" s="2">
        <v>2</v>
      </c>
      <c r="F23" s="5">
        <v>250</v>
      </c>
      <c r="G23" s="28">
        <f t="shared" si="0"/>
        <v>500</v>
      </c>
    </row>
    <row r="24" spans="1:7" ht="65.099999999999994" customHeight="1" x14ac:dyDescent="0.25">
      <c r="A24" s="27">
        <v>14</v>
      </c>
      <c r="B24" s="3" t="s">
        <v>39</v>
      </c>
      <c r="C24" s="12"/>
      <c r="D24" s="3" t="s">
        <v>40</v>
      </c>
      <c r="E24" s="2">
        <v>2</v>
      </c>
      <c r="F24" s="5">
        <v>115</v>
      </c>
      <c r="G24" s="28">
        <f t="shared" si="0"/>
        <v>230</v>
      </c>
    </row>
    <row r="25" spans="1:7" ht="65.099999999999994" customHeight="1" x14ac:dyDescent="0.25">
      <c r="A25" s="27">
        <v>15</v>
      </c>
      <c r="B25" s="3" t="s">
        <v>41</v>
      </c>
      <c r="C25" s="4"/>
      <c r="D25" s="3" t="s">
        <v>42</v>
      </c>
      <c r="E25" s="2">
        <v>1</v>
      </c>
      <c r="F25" s="5">
        <v>145</v>
      </c>
      <c r="G25" s="28">
        <f t="shared" si="0"/>
        <v>145</v>
      </c>
    </row>
    <row r="26" spans="1:7" ht="65.099999999999994" customHeight="1" x14ac:dyDescent="0.25">
      <c r="A26" s="27">
        <v>16</v>
      </c>
      <c r="B26" s="3" t="s">
        <v>43</v>
      </c>
      <c r="C26" s="12"/>
      <c r="D26" s="3" t="s">
        <v>44</v>
      </c>
      <c r="E26" s="2">
        <v>37</v>
      </c>
      <c r="F26" s="5">
        <v>7</v>
      </c>
      <c r="G26" s="28">
        <f t="shared" si="0"/>
        <v>259</v>
      </c>
    </row>
    <row r="27" spans="1:7" ht="65.099999999999994" customHeight="1" x14ac:dyDescent="0.25">
      <c r="A27" s="27">
        <v>17</v>
      </c>
      <c r="B27" s="3" t="s">
        <v>45</v>
      </c>
      <c r="C27" s="4"/>
      <c r="D27" s="3" t="s">
        <v>46</v>
      </c>
      <c r="E27" s="2">
        <v>1</v>
      </c>
      <c r="F27" s="5">
        <v>65</v>
      </c>
      <c r="G27" s="28">
        <f t="shared" si="0"/>
        <v>65</v>
      </c>
    </row>
    <row r="28" spans="1:7" ht="65.099999999999994" customHeight="1" x14ac:dyDescent="0.25">
      <c r="A28" s="27">
        <v>18</v>
      </c>
      <c r="B28" s="3" t="s">
        <v>47</v>
      </c>
      <c r="C28" s="12"/>
      <c r="D28" s="3" t="s">
        <v>48</v>
      </c>
      <c r="E28" s="2">
        <v>2</v>
      </c>
      <c r="F28" s="5">
        <v>145</v>
      </c>
      <c r="G28" s="28">
        <f t="shared" si="0"/>
        <v>290</v>
      </c>
    </row>
    <row r="29" spans="1:7" ht="65.099999999999994" customHeight="1" x14ac:dyDescent="0.25">
      <c r="A29" s="27">
        <v>19</v>
      </c>
      <c r="B29" s="3" t="s">
        <v>49</v>
      </c>
      <c r="C29" s="12"/>
      <c r="D29" s="3" t="s">
        <v>50</v>
      </c>
      <c r="E29" s="2">
        <v>1</v>
      </c>
      <c r="F29" s="5">
        <v>50</v>
      </c>
      <c r="G29" s="28">
        <f t="shared" si="0"/>
        <v>50</v>
      </c>
    </row>
    <row r="30" spans="1:7" ht="65.099999999999994" customHeight="1" x14ac:dyDescent="0.25">
      <c r="A30" s="27">
        <v>20</v>
      </c>
      <c r="B30" s="3" t="s">
        <v>51</v>
      </c>
      <c r="C30" s="4"/>
      <c r="D30" s="3" t="s">
        <v>52</v>
      </c>
      <c r="E30" s="2">
        <v>2</v>
      </c>
      <c r="F30" s="5">
        <v>1150</v>
      </c>
      <c r="G30" s="28">
        <f t="shared" si="0"/>
        <v>2300</v>
      </c>
    </row>
    <row r="31" spans="1:7" ht="65.099999999999994" customHeight="1" x14ac:dyDescent="0.25">
      <c r="A31" s="27">
        <v>21</v>
      </c>
      <c r="B31" s="3" t="s">
        <v>53</v>
      </c>
      <c r="C31" s="4"/>
      <c r="D31" s="3" t="s">
        <v>54</v>
      </c>
      <c r="E31" s="2">
        <v>1</v>
      </c>
      <c r="F31" s="5">
        <v>350</v>
      </c>
      <c r="G31" s="28">
        <f t="shared" si="0"/>
        <v>350</v>
      </c>
    </row>
    <row r="32" spans="1:7" ht="65.099999999999994" customHeight="1" x14ac:dyDescent="0.25">
      <c r="A32" s="27">
        <v>22</v>
      </c>
      <c r="B32" s="3" t="s">
        <v>55</v>
      </c>
      <c r="C32" s="4"/>
      <c r="D32" s="3" t="s">
        <v>56</v>
      </c>
      <c r="E32" s="2">
        <v>33</v>
      </c>
      <c r="F32" s="5">
        <v>400</v>
      </c>
      <c r="G32" s="28">
        <f t="shared" si="0"/>
        <v>13200</v>
      </c>
    </row>
    <row r="33" spans="1:7" ht="65.099999999999994" customHeight="1" x14ac:dyDescent="0.25">
      <c r="A33" s="27">
        <v>23</v>
      </c>
      <c r="B33" s="3" t="s">
        <v>57</v>
      </c>
      <c r="C33" s="4"/>
      <c r="D33" s="3" t="s">
        <v>58</v>
      </c>
      <c r="E33" s="2">
        <v>1</v>
      </c>
      <c r="F33" s="5">
        <v>1000</v>
      </c>
      <c r="G33" s="28">
        <f t="shared" si="0"/>
        <v>1000</v>
      </c>
    </row>
    <row r="34" spans="1:7" ht="65.099999999999994" customHeight="1" x14ac:dyDescent="0.25">
      <c r="A34" s="27">
        <v>24</v>
      </c>
      <c r="B34" s="3" t="s">
        <v>59</v>
      </c>
      <c r="C34" s="4"/>
      <c r="D34" s="3" t="s">
        <v>60</v>
      </c>
      <c r="E34" s="2">
        <v>1</v>
      </c>
      <c r="F34" s="5">
        <v>10000</v>
      </c>
      <c r="G34" s="28">
        <f t="shared" si="0"/>
        <v>10000</v>
      </c>
    </row>
    <row r="35" spans="1:7" ht="65.099999999999994" customHeight="1" x14ac:dyDescent="0.25">
      <c r="A35" s="27">
        <v>25</v>
      </c>
      <c r="B35" s="3" t="s">
        <v>61</v>
      </c>
      <c r="C35" s="4"/>
      <c r="D35" s="3" t="s">
        <v>62</v>
      </c>
      <c r="E35" s="2">
        <v>1</v>
      </c>
      <c r="F35" s="5">
        <v>3975</v>
      </c>
      <c r="G35" s="28">
        <f t="shared" si="0"/>
        <v>3975</v>
      </c>
    </row>
    <row r="36" spans="1:7" ht="16.5" thickBot="1" x14ac:dyDescent="0.3">
      <c r="A36" s="29" t="s">
        <v>63</v>
      </c>
      <c r="B36" s="9"/>
      <c r="C36" s="9"/>
      <c r="D36" s="9"/>
      <c r="E36" s="9"/>
      <c r="F36" s="8">
        <v>93894</v>
      </c>
      <c r="G36" s="30"/>
    </row>
    <row r="37" spans="1:7" ht="19.5" thickTop="1" x14ac:dyDescent="0.25">
      <c r="A37" s="31" t="s">
        <v>64</v>
      </c>
      <c r="B37" s="6"/>
      <c r="C37" s="6"/>
      <c r="D37" s="6"/>
      <c r="E37" s="6"/>
      <c r="F37" s="7">
        <v>93894</v>
      </c>
      <c r="G37" s="32"/>
    </row>
    <row r="38" spans="1:7" x14ac:dyDescent="0.25">
      <c r="A38" s="33"/>
      <c r="B38" s="10"/>
      <c r="C38" s="10"/>
      <c r="D38" s="10"/>
      <c r="E38" s="10"/>
      <c r="F38" s="10"/>
      <c r="G38" s="34"/>
    </row>
    <row r="39" spans="1:7" x14ac:dyDescent="0.25">
      <c r="A39" s="35" t="s">
        <v>65</v>
      </c>
      <c r="B39" s="11"/>
      <c r="C39" s="11"/>
      <c r="D39" s="11"/>
      <c r="E39" s="11"/>
      <c r="F39" s="11"/>
      <c r="G39" s="17"/>
    </row>
    <row r="40" spans="1:7" x14ac:dyDescent="0.25">
      <c r="A40" s="36" t="s">
        <v>66</v>
      </c>
      <c r="B40" s="11"/>
      <c r="C40" s="11"/>
      <c r="D40" s="11"/>
      <c r="E40" s="11"/>
      <c r="F40" s="11"/>
      <c r="G40" s="17"/>
    </row>
    <row r="41" spans="1:7" x14ac:dyDescent="0.25">
      <c r="A41" s="36" t="s">
        <v>67</v>
      </c>
      <c r="B41" s="11"/>
      <c r="C41" s="11"/>
      <c r="D41" s="11"/>
      <c r="E41" s="11"/>
      <c r="F41" s="11"/>
      <c r="G41" s="17"/>
    </row>
    <row r="42" spans="1:7" x14ac:dyDescent="0.25">
      <c r="A42" s="36" t="s">
        <v>68</v>
      </c>
      <c r="B42" s="11"/>
      <c r="C42" s="11"/>
      <c r="D42" s="11"/>
      <c r="E42" s="11"/>
      <c r="F42" s="11"/>
      <c r="G42" s="17"/>
    </row>
    <row r="43" spans="1:7" x14ac:dyDescent="0.25">
      <c r="A43" s="36" t="s">
        <v>69</v>
      </c>
      <c r="B43" s="11"/>
      <c r="C43" s="11"/>
      <c r="D43" s="11"/>
      <c r="E43" s="11"/>
      <c r="F43" s="11"/>
      <c r="G43" s="17"/>
    </row>
    <row r="44" spans="1:7" x14ac:dyDescent="0.25">
      <c r="A44" s="36" t="s">
        <v>70</v>
      </c>
      <c r="B44" s="11"/>
      <c r="C44" s="11"/>
      <c r="D44" s="11"/>
      <c r="E44" s="11"/>
      <c r="F44" s="11"/>
      <c r="G44" s="17"/>
    </row>
    <row r="45" spans="1:7" x14ac:dyDescent="0.25">
      <c r="A45" s="36" t="s">
        <v>71</v>
      </c>
      <c r="B45" s="11"/>
      <c r="C45" s="11"/>
      <c r="D45" s="11"/>
      <c r="E45" s="11"/>
      <c r="F45" s="11"/>
      <c r="G45" s="17"/>
    </row>
    <row r="46" spans="1:7" x14ac:dyDescent="0.25">
      <c r="A46" s="36" t="s">
        <v>72</v>
      </c>
      <c r="B46" s="11"/>
      <c r="C46" s="11"/>
      <c r="D46" s="11"/>
      <c r="E46" s="11"/>
      <c r="F46" s="11"/>
      <c r="G46" s="17"/>
    </row>
    <row r="47" spans="1:7" x14ac:dyDescent="0.25">
      <c r="A47" s="36" t="s">
        <v>73</v>
      </c>
      <c r="B47" s="11"/>
      <c r="C47" s="11"/>
      <c r="D47" s="11"/>
      <c r="E47" s="11"/>
      <c r="F47" s="11"/>
      <c r="G47" s="17"/>
    </row>
    <row r="48" spans="1:7" x14ac:dyDescent="0.25">
      <c r="A48" s="36" t="s">
        <v>74</v>
      </c>
      <c r="B48" s="11"/>
      <c r="C48" s="11"/>
      <c r="D48" s="11"/>
      <c r="E48" s="11"/>
      <c r="F48" s="11"/>
      <c r="G48" s="17"/>
    </row>
    <row r="49" spans="1:7" x14ac:dyDescent="0.25">
      <c r="A49" s="36" t="s">
        <v>75</v>
      </c>
      <c r="B49" s="11"/>
      <c r="C49" s="11"/>
      <c r="D49" s="11"/>
      <c r="E49" s="11"/>
      <c r="F49" s="11"/>
      <c r="G49" s="17"/>
    </row>
    <row r="50" spans="1:7" x14ac:dyDescent="0.25">
      <c r="A50" s="36" t="s">
        <v>76</v>
      </c>
      <c r="B50" s="11"/>
      <c r="C50" s="11"/>
      <c r="D50" s="11"/>
      <c r="E50" s="11"/>
      <c r="F50" s="11"/>
      <c r="G50" s="17"/>
    </row>
    <row r="51" spans="1:7" x14ac:dyDescent="0.25">
      <c r="A51" s="36" t="s">
        <v>77</v>
      </c>
      <c r="B51" s="11"/>
      <c r="C51" s="11"/>
      <c r="D51" s="11"/>
      <c r="E51" s="11"/>
      <c r="F51" s="11"/>
      <c r="G51" s="17"/>
    </row>
    <row r="52" spans="1:7" x14ac:dyDescent="0.25">
      <c r="A52" s="19"/>
      <c r="B52" s="12"/>
      <c r="C52" s="12"/>
      <c r="D52" s="12"/>
      <c r="E52" s="12"/>
      <c r="F52" s="12"/>
      <c r="G52" s="20"/>
    </row>
    <row r="53" spans="1:7" ht="15.75" thickBot="1" x14ac:dyDescent="0.3">
      <c r="A53" s="37" t="s">
        <v>1</v>
      </c>
      <c r="B53" s="38"/>
      <c r="C53" s="38"/>
      <c r="D53" s="38"/>
      <c r="E53" s="38"/>
      <c r="F53" s="38"/>
      <c r="G53" s="39"/>
    </row>
  </sheetData>
  <mergeCells count="25">
    <mergeCell ref="A1:G1"/>
    <mergeCell ref="A6:G6"/>
    <mergeCell ref="A7:G7"/>
    <mergeCell ref="A42:G42"/>
    <mergeCell ref="A47:G47"/>
    <mergeCell ref="A36:E36"/>
    <mergeCell ref="A3:G3"/>
    <mergeCell ref="A2:G2"/>
    <mergeCell ref="A43:G43"/>
    <mergeCell ref="A39:G39"/>
    <mergeCell ref="A53:G53"/>
    <mergeCell ref="A37:E37"/>
    <mergeCell ref="A44:G44"/>
    <mergeCell ref="D5:G5"/>
    <mergeCell ref="A45:G45"/>
    <mergeCell ref="A41:G41"/>
    <mergeCell ref="A5:C5"/>
    <mergeCell ref="A40:G40"/>
    <mergeCell ref="A49:G49"/>
    <mergeCell ref="F37:G37"/>
    <mergeCell ref="A50:G50"/>
    <mergeCell ref="F36:G36"/>
    <mergeCell ref="A46:G46"/>
    <mergeCell ref="A51:G51"/>
    <mergeCell ref="A48:G4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2026-06-10T05:20:13Z</dcterms:created>
  <dcterms:modified xsi:type="dcterms:W3CDTF">2026-06-10T07:14:42Z</dcterms:modified>
</cp:coreProperties>
</file>