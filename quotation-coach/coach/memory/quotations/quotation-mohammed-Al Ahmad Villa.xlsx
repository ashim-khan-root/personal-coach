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Lenovo\Desktop\MOI Site survey\personal-coach\quotation-coach\coach\memory\quotations\"/>
    </mc:Choice>
  </mc:AlternateContent>
  <xr:revisionPtr revIDLastSave="0" documentId="13_ncr:1_{EC97B889-AA77-4D16-97A9-1C7B068B6A15}" xr6:coauthVersionLast="36" xr6:coauthVersionMax="36" xr10:uidLastSave="{00000000-0000-0000-0000-000000000000}"/>
  <bookViews>
    <workbookView xWindow="0" yWindow="0" windowWidth="19200" windowHeight="11265" xr2:uid="{00000000-000D-0000-FFFF-FFFF00000000}"/>
  </bookViews>
  <sheets>
    <sheet name="Quotation" sheetId="1" r:id="rId1"/>
  </sheets>
  <calcPr calcId="179021"/>
</workbook>
</file>

<file path=xl/calcChain.xml><?xml version="1.0" encoding="utf-8"?>
<calcChain xmlns="http://schemas.openxmlformats.org/spreadsheetml/2006/main">
  <c r="E39" i="1" l="1"/>
  <c r="E37" i="1"/>
  <c r="G35" i="1"/>
  <c r="G32" i="1"/>
  <c r="G33" i="1"/>
  <c r="G34" i="1"/>
  <c r="G31" i="1"/>
  <c r="G30" i="1"/>
  <c r="G25" i="1"/>
  <c r="G26" i="1"/>
  <c r="G27" i="1"/>
  <c r="G28" i="1"/>
  <c r="G29" i="1"/>
  <c r="G24" i="1"/>
  <c r="G23" i="1"/>
  <c r="G21" i="1"/>
  <c r="G22" i="1"/>
  <c r="G20" i="1"/>
  <c r="G16" i="1"/>
  <c r="G19" i="1"/>
  <c r="G17" i="1"/>
  <c r="G18" i="1"/>
  <c r="G15" i="1"/>
  <c r="G10" i="1"/>
  <c r="G11" i="1"/>
  <c r="G12" i="1"/>
  <c r="G13" i="1"/>
  <c r="G14" i="1"/>
  <c r="G9" i="1"/>
</calcChain>
</file>

<file path=xl/sharedStrings.xml><?xml version="1.0" encoding="utf-8"?>
<sst xmlns="http://schemas.openxmlformats.org/spreadsheetml/2006/main" count="54" uniqueCount="52">
  <si>
    <t>CCTV &amp; Smart Home Security Systems / أنظمة كاميرات المراقبة والأمن المنزلي الذكي</t>
  </si>
  <si>
    <t>Salwa Road, Doha, Qatar | Tel: +974 44691741 | info@starfoxsecu.com | www.starfoxsecu.com | سلوى، الدوحة، قطر | هاتف: 974 44691741+ | info@starfoxsecu.com</t>
  </si>
  <si>
    <t>QUOTATION / عرض سعر</t>
  </si>
  <si>
    <t>Date / التاريخ: 2026-06-10  |  30-day retention</t>
  </si>
  <si>
    <t>#</t>
  </si>
  <si>
    <t>Model</t>
  </si>
  <si>
    <t>Image</t>
  </si>
  <si>
    <t>Description</t>
  </si>
  <si>
    <t>Qty</t>
  </si>
  <si>
    <t>Unit Price (QAR)</t>
  </si>
  <si>
    <t>Amount (QAR)</t>
  </si>
  <si>
    <t>16ch NVR, 2 HDD bays up to 16TB each, RAID 0/1/5, H.265, P2P, AI by Camera, 4K output</t>
  </si>
  <si>
    <t>4TB SATA III, 24/7 continuous recording, 256MB cache, 3-year warranty x 1</t>
  </si>
  <si>
    <t>8-port Gigabit PoE+, 120W budget, plug-and-play, metal housing x 1</t>
  </si>
  <si>
    <t>18U standard server rack, tempered glass door, casters, cooling fans</t>
  </si>
  <si>
    <t>1 x 10-inch HD touchscreen, Tuya app, WiFi video intercom, includes indoor monitor + outdoor station</t>
  </si>
  <si>
    <t>5 x AX1800 WiFi 6, dual-band 2.4GHz/5GHz, Gigabit, ceiling mount, PoE support</t>
  </si>
  <si>
    <t>12 x Wall plate with RJ45 internet + satellite connector, ABS plastic, scratch-resistant</t>
  </si>
  <si>
    <t>10 x 10W PA ceiling speaker, clear sound, easy installation, for home/office</t>
  </si>
  <si>
    <t>Subtotal / المجموع</t>
  </si>
  <si>
    <t>GRAND TOTAL / الإجمالي النهائي</t>
  </si>
  <si>
    <t>TERMS &amp; CONDITIONS / الشروط والأحكام:</t>
  </si>
  <si>
    <t>1. All the above prices are in QAR (Qatari Riyals) / جميع الأسعار أعلاه بالريال القطري (QAR)</t>
  </si>
  <si>
    <t>2. Terms of payment: 50% upon signing the contract as downpayment and 50% before installation and handover / شروط الدفع: 50% عند توقيع العقد كدفعة مقدمة و 50% قبل التركيب والتسليم</t>
  </si>
  <si>
    <t>3. Warranty: 2 YEARS for NVR and Cameras / الضمان: سنتان لجهاز التسجيل والكاميرات</t>
  </si>
  <si>
    <t>4. Any changes or addition of cameras as recommended will be quoted separately / أي تغييرات أو إضافة كاميرات كما يوصى بها تحسب بشكل منفصل</t>
  </si>
  <si>
    <t>5. Any civil, mechanical, and electrical work if any will be charged accordingly / أي أعمال مدنية أو ميكانيكية أو كهربائية إن وجدت تحسب بشكل منفصل</t>
  </si>
  <si>
    <t>6. Materials prices may vary at the time of installation due to current regional situation / أسعار المواد قد تتغير وقت التركيب حسب الظروف الإقليمية</t>
  </si>
  <si>
    <t>7. This quotation is subject to STARFOX standard terms and conditions which are available on request / عرض السعر هذا يخضع للشروط والأحكام القياسية لشركة ستار فوكس</t>
  </si>
  <si>
    <t>8. Price and specifications may change without prior notice / قد تتغير الأسعار والمواصفات دون إشعار مسبق</t>
  </si>
  <si>
    <t>8MP outdoor ip camera, H.265, Built-in IR (30m), PoE, IP67, ONVIF, fixed lens</t>
  </si>
  <si>
    <t>Camera system instalation and configuration</t>
  </si>
  <si>
    <t>Secuview 5Mp Indoor Ip Camera | Two-Way Audio, Auto Tracking &amp; ONVIF.</t>
  </si>
  <si>
    <t>Total Camera Installation Cost</t>
  </si>
  <si>
    <t>Secuview DOOR LOCK ELECTRIC</t>
  </si>
  <si>
    <t>Door Phone system instalation and configuration</t>
  </si>
  <si>
    <t>Total Smart Door Phone Installation Cost</t>
  </si>
  <si>
    <t>Secuview 16-Port Gigabit PoE switch 2 Uplink + 2 SFP |300W PoE Power.
Complies with IEEE802.3 10/100/1000Mbps standards.
 Full/half duplex: IEEE 802.3x / Back Pressure.</t>
  </si>
  <si>
    <t>Total Accesspoint Installation Cost</t>
  </si>
  <si>
    <t>Multiswitch equipped with 12 inputs (one terrestrial and 16 for four satellites, each with its four polarities) and 16 user outputs.Can be used as a terminal (star topology) or as a cascade by using a simple switch.</t>
  </si>
  <si>
    <t>Internet and satelite system instalation and configuration</t>
  </si>
  <si>
    <t>Total Internet &amp; TV Satellite Installation Cost</t>
  </si>
  <si>
    <t>30W wall-mounted volume attenuator, steel body, smooth rotary control, PA system
High Quality Material Build, Wall Mount Design
Multi-Application Scenario</t>
  </si>
  <si>
    <t>Secuview 100W Public Address Power Amplifier With Multiple Audio Sources
Superior Sound Quality: Enjoy rich, distortion-free audio with wide coverage—ideal for large spaces.</t>
  </si>
  <si>
    <t>Audio system instalation and configuration</t>
  </si>
  <si>
    <t>Total Audio System Installation Cost</t>
  </si>
  <si>
    <t>Customer / العميل: Mohammed Al Ahmad Villa</t>
  </si>
  <si>
    <t>Salwa Road, Doha, Qatar | Tel: +974 44691741 | info@starfoxsecu.com | www.starfoxsecu.com | سلوى، الدوحة، قطر | هاتف: 974 4691835+ | info@starfoxsecu.com</t>
  </si>
  <si>
    <t>Discount</t>
  </si>
  <si>
    <t>ASHIM AHMAD</t>
  </si>
  <si>
    <t>satellite dish 120cm, Free-to-Air (FTA) channels,  Accessing international programming</t>
  </si>
  <si>
    <t>LNB QUATRO Very high protection rating: IP66
Working at extreme ambient temperatures
Adapted for 4 K and UHD 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</si>
</sst>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</font>
    <font>
      <sz val="10"/>
      <color rgb="FF555555"/>
      <name val="Calibri"/>
      <family val="2"/>
    </font>
    <font>
      <sz val="9"/>
      <color rgb="FF888888"/>
      <name val="Calibri"/>
      <family val="2"/>
    </font>
    <font>
      <b/>
      <sz val="14"/>
      <color rgb="FF1F4E79"/>
      <name val="Calibri"/>
      <family val="2"/>
    </font>
    <font>
      <sz val="9"/>
      <color rgb="FF555555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sz val="9"/>
      <color rgb="FF666666"/>
      <name val="Calibri"/>
      <family val="2"/>
    </font>
    <font>
      <sz val="11"/>
      <name val="Calibri"/>
      <family val="2"/>
    </font>
    <font>
      <b/>
      <sz val="12"/>
      <color theme="6" tint="-0.249977111117893"/>
      <name val="Calibri"/>
      <family val="2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/>
    <xf numFmtId="3" fontId="8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3" fontId="8" fillId="0" borderId="2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3" fontId="8" fillId="0" borderId="3" xfId="0" applyNumberFormat="1" applyFont="1" applyBorder="1" applyAlignment="1">
      <alignment horizontal="right" vertical="center"/>
    </xf>
    <xf numFmtId="0" fontId="0" fillId="0" borderId="0" xfId="0" applyBorder="1"/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0" fillId="3" borderId="5" xfId="0" applyFill="1" applyBorder="1"/>
    <xf numFmtId="0" fontId="0" fillId="0" borderId="9" xfId="0" applyBorder="1"/>
    <xf numFmtId="0" fontId="6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3" fontId="12" fillId="3" borderId="5" xfId="0" applyNumberFormat="1" applyFont="1" applyFill="1" applyBorder="1" applyAlignment="1">
      <alignment horizontal="right" vertical="center"/>
    </xf>
    <xf numFmtId="3" fontId="6" fillId="3" borderId="6" xfId="0" applyNumberFormat="1" applyFont="1" applyFill="1" applyBorder="1" applyAlignment="1">
      <alignment horizontal="right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3" fontId="8" fillId="0" borderId="10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8" xfId="0" applyBorder="1"/>
    <xf numFmtId="0" fontId="0" fillId="0" borderId="0" xfId="0" applyBorder="1"/>
    <xf numFmtId="0" fontId="0" fillId="0" borderId="7" xfId="0" applyBorder="1"/>
    <xf numFmtId="0" fontId="0" fillId="0" borderId="11" xfId="0" applyBorder="1"/>
    <xf numFmtId="0" fontId="0" fillId="0" borderId="7" xfId="0" applyBorder="1"/>
    <xf numFmtId="0" fontId="9" fillId="0" borderId="10" xfId="0" applyFont="1" applyBorder="1" applyAlignment="1">
      <alignment horizontal="right" vertical="center"/>
    </xf>
    <xf numFmtId="0" fontId="0" fillId="0" borderId="10" xfId="0" applyBorder="1"/>
    <xf numFmtId="3" fontId="9" fillId="0" borderId="10" xfId="0" applyNumberFormat="1" applyFont="1" applyBorder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3" fontId="9" fillId="0" borderId="0" xfId="0" applyNumberFormat="1" applyFont="1" applyBorder="1" applyAlignment="1">
      <alignment horizontal="right" vertical="center"/>
    </xf>
    <xf numFmtId="0" fontId="13" fillId="0" borderId="0" xfId="0" applyFont="1" applyFill="1" applyBorder="1" applyAlignment="1">
      <alignment horizontal="right" vertical="center" wrapText="1"/>
    </xf>
    <xf numFmtId="0" fontId="14" fillId="0" borderId="7" xfId="0" applyFont="1" applyBorder="1"/>
    <xf numFmtId="0" fontId="10" fillId="0" borderId="1" xfId="0" applyFont="1" applyBorder="1"/>
    <xf numFmtId="0" fontId="1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1" fillId="0" borderId="12" xfId="0" applyFont="1" applyBorder="1" applyAlignment="1">
      <alignment horizontal="left" vertical="center"/>
    </xf>
    <xf numFmtId="0" fontId="0" fillId="0" borderId="9" xfId="0" applyBorder="1"/>
    <xf numFmtId="0" fontId="0" fillId="0" borderId="8" xfId="0" applyBorder="1"/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/>
    <xf numFmtId="0" fontId="5" fillId="0" borderId="0" xfId="0" applyFont="1" applyBorder="1" applyAlignment="1">
      <alignment horizontal="right" vertical="center"/>
    </xf>
    <xf numFmtId="0" fontId="6" fillId="0" borderId="11" xfId="0" applyFont="1" applyBorder="1"/>
    <xf numFmtId="0" fontId="0" fillId="0" borderId="0" xfId="0" applyBorder="1" applyAlignment="1">
      <alignment vertical="center"/>
    </xf>
    <xf numFmtId="0" fontId="15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top" wrapText="1"/>
    </xf>
    <xf numFmtId="0" fontId="8" fillId="3" borderId="5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4" fillId="4" borderId="4" xfId="0" applyFont="1" applyFill="1" applyBorder="1" applyAlignment="1">
      <alignment horizontal="right" vertical="center"/>
    </xf>
    <xf numFmtId="0" fontId="0" fillId="4" borderId="5" xfId="0" applyFill="1" applyBorder="1"/>
    <xf numFmtId="3" fontId="4" fillId="4" borderId="5" xfId="0" applyNumberFormat="1" applyFont="1" applyFill="1" applyBorder="1" applyAlignment="1">
      <alignment horizontal="right" vertical="center"/>
    </xf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7791449" cy="1181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7791449" cy="1181100"/>
        </a:xfrm>
        <a:prstGeom prst="rect">
          <a:avLst/>
        </a:prstGeom>
      </xdr:spPr>
    </xdr:pic>
    <xdr:clientData/>
  </xdr:oneCellAnchor>
  <xdr:oneCellAnchor>
    <xdr:from>
      <xdr:col>2</xdr:col>
      <xdr:colOff>428625</xdr:colOff>
      <xdr:row>11</xdr:row>
      <xdr:rowOff>28575</xdr:rowOff>
    </xdr:from>
    <xdr:ext cx="323850" cy="3905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95575" y="4591050"/>
          <a:ext cx="323850" cy="390525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8</xdr:row>
      <xdr:rowOff>92791</xdr:rowOff>
    </xdr:from>
    <xdr:ext cx="810273" cy="383460"/>
    <xdr:pic>
      <xdr:nvPicPr>
        <xdr:cNvPr id="7" name="image11.jpeg">
          <a:extLst>
            <a:ext uri="{FF2B5EF4-FFF2-40B4-BE49-F238E27FC236}">
              <a16:creationId xmlns:a16="http://schemas.microsoft.com/office/drawing/2014/main" id="{CABD606E-AF3E-4F8A-8F7C-BFB3CDC60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2835991"/>
          <a:ext cx="810273" cy="38346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10</xdr:row>
      <xdr:rowOff>111752</xdr:rowOff>
    </xdr:from>
    <xdr:ext cx="793738" cy="375634"/>
    <xdr:pic>
      <xdr:nvPicPr>
        <xdr:cNvPr id="8" name="image11.jpeg">
          <a:extLst>
            <a:ext uri="{FF2B5EF4-FFF2-40B4-BE49-F238E27FC236}">
              <a16:creationId xmlns:a16="http://schemas.microsoft.com/office/drawing/2014/main" id="{F3CC222B-2B2E-46A9-B448-644318103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4150352"/>
          <a:ext cx="793738" cy="375634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11</xdr:row>
      <xdr:rowOff>128257</xdr:rowOff>
    </xdr:from>
    <xdr:ext cx="933450" cy="174854"/>
    <xdr:pic>
      <xdr:nvPicPr>
        <xdr:cNvPr id="9" name="image4.jpeg">
          <a:extLst>
            <a:ext uri="{FF2B5EF4-FFF2-40B4-BE49-F238E27FC236}">
              <a16:creationId xmlns:a16="http://schemas.microsoft.com/office/drawing/2014/main" id="{3A05E8E1-3E94-4173-A1EC-11F628842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4690732"/>
          <a:ext cx="933450" cy="174854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1025" name="AutoShape 1" descr="https://secuview.com/wp-content/uploads/2-141.jpg">
          <a:extLst>
            <a:ext uri="{FF2B5EF4-FFF2-40B4-BE49-F238E27FC236}">
              <a16:creationId xmlns:a16="http://schemas.microsoft.com/office/drawing/2014/main" id="{4EAB27BB-04FD-497A-9861-E42578F7D132}"/>
            </a:ext>
          </a:extLst>
        </xdr:cNvPr>
        <xdr:cNvSpPr>
          <a:spLocks noChangeAspect="1" noChangeArrowheads="1"/>
        </xdr:cNvSpPr>
      </xdr:nvSpPr>
      <xdr:spPr bwMode="auto">
        <a:xfrm>
          <a:off x="2266950" y="29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238125</xdr:colOff>
      <xdr:row>8</xdr:row>
      <xdr:rowOff>24401</xdr:rowOff>
    </xdr:from>
    <xdr:to>
      <xdr:col>2</xdr:col>
      <xdr:colOff>1028700</xdr:colOff>
      <xdr:row>8</xdr:row>
      <xdr:rowOff>533401</xdr:rowOff>
    </xdr:to>
    <xdr:pic>
      <xdr:nvPicPr>
        <xdr:cNvPr id="14" name="Picture 13" descr="https://secuview.com/wp-content/uploads/2-141.jpg">
          <a:extLst>
            <a:ext uri="{FF2B5EF4-FFF2-40B4-BE49-F238E27FC236}">
              <a16:creationId xmlns:a16="http://schemas.microsoft.com/office/drawing/2014/main" id="{C85CDA94-7739-4C12-8BA8-2F799A37A1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08" b="17808"/>
        <a:stretch/>
      </xdr:blipFill>
      <xdr:spPr bwMode="auto">
        <a:xfrm>
          <a:off x="2505075" y="2767601"/>
          <a:ext cx="790575" cy="50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180975</xdr:colOff>
      <xdr:row>12</xdr:row>
      <xdr:rowOff>47626</xdr:rowOff>
    </xdr:from>
    <xdr:to>
      <xdr:col>2</xdr:col>
      <xdr:colOff>1047750</xdr:colOff>
      <xdr:row>12</xdr:row>
      <xdr:rowOff>447676</xdr:rowOff>
    </xdr:to>
    <xdr:pic>
      <xdr:nvPicPr>
        <xdr:cNvPr id="15" name="Picture 14" descr="https://secuview.com/wp-content/uploads/2-103.jpg">
          <a:extLst>
            <a:ext uri="{FF2B5EF4-FFF2-40B4-BE49-F238E27FC236}">
              <a16:creationId xmlns:a16="http://schemas.microsoft.com/office/drawing/2014/main" id="{00667CCD-1064-4136-B196-E48EEC3CC5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963" b="22616"/>
        <a:stretch/>
      </xdr:blipFill>
      <xdr:spPr bwMode="auto">
        <a:xfrm>
          <a:off x="2447925" y="5048251"/>
          <a:ext cx="8667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114300</xdr:colOff>
      <xdr:row>9</xdr:row>
      <xdr:rowOff>191950</xdr:rowOff>
    </xdr:from>
    <xdr:ext cx="768933" cy="363895"/>
    <xdr:pic>
      <xdr:nvPicPr>
        <xdr:cNvPr id="16" name="image11.jpeg">
          <a:extLst>
            <a:ext uri="{FF2B5EF4-FFF2-40B4-BE49-F238E27FC236}">
              <a16:creationId xmlns:a16="http://schemas.microsoft.com/office/drawing/2014/main" id="{F3103A2A-E00A-4716-B8C5-8E19D1E9C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554275"/>
          <a:ext cx="768933" cy="363895"/>
        </a:xfrm>
        <a:prstGeom prst="rect">
          <a:avLst/>
        </a:prstGeom>
      </xdr:spPr>
    </xdr:pic>
    <xdr:clientData/>
  </xdr:oneCellAnchor>
  <xdr:twoCellAnchor editAs="oneCell">
    <xdr:from>
      <xdr:col>2</xdr:col>
      <xdr:colOff>295276</xdr:colOff>
      <xdr:row>9</xdr:row>
      <xdr:rowOff>57151</xdr:rowOff>
    </xdr:from>
    <xdr:to>
      <xdr:col>2</xdr:col>
      <xdr:colOff>857250</xdr:colOff>
      <xdr:row>9</xdr:row>
      <xdr:rowOff>619125</xdr:rowOff>
    </xdr:to>
    <xdr:pic>
      <xdr:nvPicPr>
        <xdr:cNvPr id="17" name="Picture 16" descr="5MP Indoor IP Camera">
          <a:extLst>
            <a:ext uri="{FF2B5EF4-FFF2-40B4-BE49-F238E27FC236}">
              <a16:creationId xmlns:a16="http://schemas.microsoft.com/office/drawing/2014/main" id="{8369B2E3-54F0-4E54-B099-5B90909BF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6" y="3419476"/>
          <a:ext cx="561974" cy="561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200024</xdr:colOff>
      <xdr:row>10</xdr:row>
      <xdr:rowOff>38100</xdr:rowOff>
    </xdr:from>
    <xdr:to>
      <xdr:col>2</xdr:col>
      <xdr:colOff>1005923</xdr:colOff>
      <xdr:row>10</xdr:row>
      <xdr:rowOff>479426</xdr:rowOff>
    </xdr:to>
    <xdr:pic>
      <xdr:nvPicPr>
        <xdr:cNvPr id="18" name="Picture 17" descr="https://secuview.com/wp-content/uploads/2-111.jpg">
          <a:extLst>
            <a:ext uri="{FF2B5EF4-FFF2-40B4-BE49-F238E27FC236}">
              <a16:creationId xmlns:a16="http://schemas.microsoft.com/office/drawing/2014/main" id="{5FF0F10C-A759-4CCF-A03E-C6E2028325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519" b="20254"/>
        <a:stretch/>
      </xdr:blipFill>
      <xdr:spPr bwMode="auto">
        <a:xfrm>
          <a:off x="2466974" y="4076700"/>
          <a:ext cx="805899" cy="441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161924</xdr:colOff>
      <xdr:row>13</xdr:row>
      <xdr:rowOff>85725</xdr:rowOff>
    </xdr:from>
    <xdr:ext cx="786807" cy="304800"/>
    <xdr:pic>
      <xdr:nvPicPr>
        <xdr:cNvPr id="19" name="image19.jpeg">
          <a:extLst>
            <a:ext uri="{FF2B5EF4-FFF2-40B4-BE49-F238E27FC236}">
              <a16:creationId xmlns:a16="http://schemas.microsoft.com/office/drawing/2014/main" id="{ECA6D700-5B0E-4AB0-B96E-422B7C5C8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4" y="5572125"/>
          <a:ext cx="786807" cy="304800"/>
        </a:xfrm>
        <a:prstGeom prst="rect">
          <a:avLst/>
        </a:prstGeom>
      </xdr:spPr>
    </xdr:pic>
    <xdr:clientData/>
  </xdr:oneCellAnchor>
  <xdr:twoCellAnchor editAs="oneCell">
    <xdr:from>
      <xdr:col>2</xdr:col>
      <xdr:colOff>209549</xdr:colOff>
      <xdr:row>15</xdr:row>
      <xdr:rowOff>19050</xdr:rowOff>
    </xdr:from>
    <xdr:to>
      <xdr:col>2</xdr:col>
      <xdr:colOff>990600</xdr:colOff>
      <xdr:row>15</xdr:row>
      <xdr:rowOff>492367</xdr:rowOff>
    </xdr:to>
    <xdr:pic>
      <xdr:nvPicPr>
        <xdr:cNvPr id="20" name="Picture 19" descr="Smart Doorphone Intercom System for Home Security">
          <a:extLst>
            <a:ext uri="{FF2B5EF4-FFF2-40B4-BE49-F238E27FC236}">
              <a16:creationId xmlns:a16="http://schemas.microsoft.com/office/drawing/2014/main" id="{7D38CE3C-7268-44B6-98B6-69863FF788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00" t="18399" r="-3800" b="21000"/>
        <a:stretch/>
      </xdr:blipFill>
      <xdr:spPr bwMode="auto">
        <a:xfrm>
          <a:off x="2476499" y="6210300"/>
          <a:ext cx="781051" cy="473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142875</xdr:colOff>
      <xdr:row>16</xdr:row>
      <xdr:rowOff>9525</xdr:rowOff>
    </xdr:from>
    <xdr:to>
      <xdr:col>2</xdr:col>
      <xdr:colOff>971551</xdr:colOff>
      <xdr:row>16</xdr:row>
      <xdr:rowOff>478429</xdr:rowOff>
    </xdr:to>
    <xdr:pic>
      <xdr:nvPicPr>
        <xdr:cNvPr id="21" name="Picture 20" descr="Electric motor locks">
          <a:extLst>
            <a:ext uri="{FF2B5EF4-FFF2-40B4-BE49-F238E27FC236}">
              <a16:creationId xmlns:a16="http://schemas.microsoft.com/office/drawing/2014/main" id="{250C1481-198A-46A1-B652-6B72B3F886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26" t="21997" r="6000" b="25236"/>
        <a:stretch/>
      </xdr:blipFill>
      <xdr:spPr bwMode="auto">
        <a:xfrm>
          <a:off x="2409825" y="6762750"/>
          <a:ext cx="828676" cy="468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113464</xdr:colOff>
      <xdr:row>15</xdr:row>
      <xdr:rowOff>57151</xdr:rowOff>
    </xdr:from>
    <xdr:ext cx="786194" cy="372064"/>
    <xdr:pic>
      <xdr:nvPicPr>
        <xdr:cNvPr id="22" name="image11.jpeg">
          <a:extLst>
            <a:ext uri="{FF2B5EF4-FFF2-40B4-BE49-F238E27FC236}">
              <a16:creationId xmlns:a16="http://schemas.microsoft.com/office/drawing/2014/main" id="{FE19EE63-5CAF-40D6-957B-3AE690CA9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514" y="6248401"/>
          <a:ext cx="786194" cy="372064"/>
        </a:xfrm>
        <a:prstGeom prst="rect">
          <a:avLst/>
        </a:prstGeom>
      </xdr:spPr>
    </xdr:pic>
    <xdr:clientData/>
  </xdr:oneCellAnchor>
  <xdr:oneCellAnchor>
    <xdr:from>
      <xdr:col>1</xdr:col>
      <xdr:colOff>123824</xdr:colOff>
      <xdr:row>16</xdr:row>
      <xdr:rowOff>85725</xdr:rowOff>
    </xdr:from>
    <xdr:ext cx="768933" cy="363895"/>
    <xdr:pic>
      <xdr:nvPicPr>
        <xdr:cNvPr id="23" name="image11.jpeg">
          <a:extLst>
            <a:ext uri="{FF2B5EF4-FFF2-40B4-BE49-F238E27FC236}">
              <a16:creationId xmlns:a16="http://schemas.microsoft.com/office/drawing/2014/main" id="{CBB4C363-EB6D-4948-8369-7C3DD423B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4" y="6838950"/>
          <a:ext cx="768933" cy="363895"/>
        </a:xfrm>
        <a:prstGeom prst="rect">
          <a:avLst/>
        </a:prstGeom>
      </xdr:spPr>
    </xdr:pic>
    <xdr:clientData/>
  </xdr:oneCellAnchor>
  <xdr:oneCellAnchor>
    <xdr:from>
      <xdr:col>2</xdr:col>
      <xdr:colOff>152400</xdr:colOff>
      <xdr:row>17</xdr:row>
      <xdr:rowOff>66675</xdr:rowOff>
    </xdr:from>
    <xdr:ext cx="786807" cy="304800"/>
    <xdr:pic>
      <xdr:nvPicPr>
        <xdr:cNvPr id="24" name="image19.jpeg">
          <a:extLst>
            <a:ext uri="{FF2B5EF4-FFF2-40B4-BE49-F238E27FC236}">
              <a16:creationId xmlns:a16="http://schemas.microsoft.com/office/drawing/2014/main" id="{10C1151C-37D0-47E0-99DF-53A559A41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7334250"/>
          <a:ext cx="786807" cy="304800"/>
        </a:xfrm>
        <a:prstGeom prst="rect">
          <a:avLst/>
        </a:prstGeom>
      </xdr:spPr>
    </xdr:pic>
    <xdr:clientData/>
  </xdr:oneCellAnchor>
  <xdr:twoCellAnchor editAs="oneCell">
    <xdr:from>
      <xdr:col>2</xdr:col>
      <xdr:colOff>342900</xdr:colOff>
      <xdr:row>19</xdr:row>
      <xdr:rowOff>13144</xdr:rowOff>
    </xdr:from>
    <xdr:to>
      <xdr:col>2</xdr:col>
      <xdr:colOff>819150</xdr:colOff>
      <xdr:row>19</xdr:row>
      <xdr:rowOff>512010</xdr:rowOff>
    </xdr:to>
    <xdr:pic>
      <xdr:nvPicPr>
        <xdr:cNvPr id="25" name="Picture 24" descr="https://secuview.com/wp-content/uploads/4-67.jpg">
          <a:extLst>
            <a:ext uri="{FF2B5EF4-FFF2-40B4-BE49-F238E27FC236}">
              <a16:creationId xmlns:a16="http://schemas.microsoft.com/office/drawing/2014/main" id="{885CAA8E-B84B-471C-A738-3784EC0B6C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99" t="12000" r="12401" b="13000"/>
        <a:stretch/>
      </xdr:blipFill>
      <xdr:spPr bwMode="auto">
        <a:xfrm>
          <a:off x="2609850" y="7956994"/>
          <a:ext cx="476250" cy="498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20</xdr:row>
      <xdr:rowOff>82600</xdr:rowOff>
    </xdr:from>
    <xdr:to>
      <xdr:col>2</xdr:col>
      <xdr:colOff>1057275</xdr:colOff>
      <xdr:row>20</xdr:row>
      <xdr:rowOff>590550</xdr:rowOff>
    </xdr:to>
    <xdr:pic>
      <xdr:nvPicPr>
        <xdr:cNvPr id="27" name="Picture 26" descr="https://secuview.com/wp-content/uploads/1-113.jpg">
          <a:extLst>
            <a:ext uri="{FF2B5EF4-FFF2-40B4-BE49-F238E27FC236}">
              <a16:creationId xmlns:a16="http://schemas.microsoft.com/office/drawing/2014/main" id="{150C4FCF-AFC9-428A-8A66-396837A763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00" b="18200"/>
        <a:stretch/>
      </xdr:blipFill>
      <xdr:spPr bwMode="auto">
        <a:xfrm>
          <a:off x="2362200" y="8588425"/>
          <a:ext cx="962025" cy="5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152400</xdr:colOff>
      <xdr:row>21</xdr:row>
      <xdr:rowOff>47625</xdr:rowOff>
    </xdr:from>
    <xdr:ext cx="786807" cy="304800"/>
    <xdr:pic>
      <xdr:nvPicPr>
        <xdr:cNvPr id="28" name="image19.jpeg">
          <a:extLst>
            <a:ext uri="{FF2B5EF4-FFF2-40B4-BE49-F238E27FC236}">
              <a16:creationId xmlns:a16="http://schemas.microsoft.com/office/drawing/2014/main" id="{F06052B0-84FC-4A95-A45C-08927F24B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9201150"/>
          <a:ext cx="786807" cy="304800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19</xdr:row>
      <xdr:rowOff>93210</xdr:rowOff>
    </xdr:from>
    <xdr:ext cx="742950" cy="351599"/>
    <xdr:pic>
      <xdr:nvPicPr>
        <xdr:cNvPr id="29" name="image11.jpeg">
          <a:extLst>
            <a:ext uri="{FF2B5EF4-FFF2-40B4-BE49-F238E27FC236}">
              <a16:creationId xmlns:a16="http://schemas.microsoft.com/office/drawing/2014/main" id="{EC4032A5-8100-4FB3-914D-6DC9A94CE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8037060"/>
          <a:ext cx="742950" cy="351599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20</xdr:row>
      <xdr:rowOff>159885</xdr:rowOff>
    </xdr:from>
    <xdr:ext cx="742950" cy="351599"/>
    <xdr:pic>
      <xdr:nvPicPr>
        <xdr:cNvPr id="30" name="image11.jpeg">
          <a:extLst>
            <a:ext uri="{FF2B5EF4-FFF2-40B4-BE49-F238E27FC236}">
              <a16:creationId xmlns:a16="http://schemas.microsoft.com/office/drawing/2014/main" id="{036BACB1-834C-4D72-A8E5-AFC1661A2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8665710"/>
          <a:ext cx="742950" cy="351599"/>
        </a:xfrm>
        <a:prstGeom prst="rect">
          <a:avLst/>
        </a:prstGeom>
      </xdr:spPr>
    </xdr:pic>
    <xdr:clientData/>
  </xdr:oneCellAnchor>
  <xdr:oneCellAnchor>
    <xdr:from>
      <xdr:col>1</xdr:col>
      <xdr:colOff>134669</xdr:colOff>
      <xdr:row>12</xdr:row>
      <xdr:rowOff>65146</xdr:rowOff>
    </xdr:from>
    <xdr:ext cx="701643" cy="332051"/>
    <xdr:pic>
      <xdr:nvPicPr>
        <xdr:cNvPr id="31" name="image11.jpeg">
          <a:extLst>
            <a:ext uri="{FF2B5EF4-FFF2-40B4-BE49-F238E27FC236}">
              <a16:creationId xmlns:a16="http://schemas.microsoft.com/office/drawing/2014/main" id="{B23981B0-1DCB-4D88-8D07-ACBCB939C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719" y="5065771"/>
          <a:ext cx="701643" cy="332051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23</xdr:row>
      <xdr:rowOff>54025</xdr:rowOff>
    </xdr:from>
    <xdr:ext cx="962025" cy="507950"/>
    <xdr:pic>
      <xdr:nvPicPr>
        <xdr:cNvPr id="32" name="Picture 31" descr="https://secuview.com/wp-content/uploads/1-113.jpg">
          <a:extLst>
            <a:ext uri="{FF2B5EF4-FFF2-40B4-BE49-F238E27FC236}">
              <a16:creationId xmlns:a16="http://schemas.microsoft.com/office/drawing/2014/main" id="{045DB7D6-D4BE-48B6-8CA6-C6F1E48C72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00" b="18200"/>
        <a:stretch/>
      </xdr:blipFill>
      <xdr:spPr bwMode="auto">
        <a:xfrm>
          <a:off x="2343150" y="9788575"/>
          <a:ext cx="962025" cy="5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142875</xdr:colOff>
      <xdr:row>23</xdr:row>
      <xdr:rowOff>121785</xdr:rowOff>
    </xdr:from>
    <xdr:ext cx="742950" cy="351599"/>
    <xdr:pic>
      <xdr:nvPicPr>
        <xdr:cNvPr id="33" name="image11.jpeg">
          <a:extLst>
            <a:ext uri="{FF2B5EF4-FFF2-40B4-BE49-F238E27FC236}">
              <a16:creationId xmlns:a16="http://schemas.microsoft.com/office/drawing/2014/main" id="{5364BC4F-3756-42FD-BA13-D7D2078A6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9856335"/>
          <a:ext cx="742950" cy="351599"/>
        </a:xfrm>
        <a:prstGeom prst="rect">
          <a:avLst/>
        </a:prstGeom>
      </xdr:spPr>
    </xdr:pic>
    <xdr:clientData/>
  </xdr:oneCellAnchor>
  <xdr:twoCellAnchor editAs="oneCell">
    <xdr:from>
      <xdr:col>2</xdr:col>
      <xdr:colOff>200025</xdr:colOff>
      <xdr:row>24</xdr:row>
      <xdr:rowOff>31147</xdr:rowOff>
    </xdr:from>
    <xdr:to>
      <xdr:col>2</xdr:col>
      <xdr:colOff>933450</xdr:colOff>
      <xdr:row>24</xdr:row>
      <xdr:rowOff>493205</xdr:rowOff>
    </xdr:to>
    <xdr:pic>
      <xdr:nvPicPr>
        <xdr:cNvPr id="34" name="Picture 33" descr="https://secuview.com/wp-content/uploads/4-185.jpg">
          <a:extLst>
            <a:ext uri="{FF2B5EF4-FFF2-40B4-BE49-F238E27FC236}">
              <a16:creationId xmlns:a16="http://schemas.microsoft.com/office/drawing/2014/main" id="{B85FF9FE-E41F-4F64-B4C9-AB1FCF16AC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00" b="19200"/>
        <a:stretch/>
      </xdr:blipFill>
      <xdr:spPr bwMode="auto">
        <a:xfrm>
          <a:off x="2466975" y="10356247"/>
          <a:ext cx="733425" cy="462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152400</xdr:colOff>
      <xdr:row>24</xdr:row>
      <xdr:rowOff>93210</xdr:rowOff>
    </xdr:from>
    <xdr:ext cx="742950" cy="351599"/>
    <xdr:pic>
      <xdr:nvPicPr>
        <xdr:cNvPr id="35" name="image11.jpeg">
          <a:extLst>
            <a:ext uri="{FF2B5EF4-FFF2-40B4-BE49-F238E27FC236}">
              <a16:creationId xmlns:a16="http://schemas.microsoft.com/office/drawing/2014/main" id="{5C416464-00D7-49C0-9F6E-88F544879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10418310"/>
          <a:ext cx="742950" cy="351599"/>
        </a:xfrm>
        <a:prstGeom prst="rect">
          <a:avLst/>
        </a:prstGeom>
      </xdr:spPr>
    </xdr:pic>
    <xdr:clientData/>
  </xdr:oneCellAnchor>
  <xdr:twoCellAnchor editAs="oneCell">
    <xdr:from>
      <xdr:col>2</xdr:col>
      <xdr:colOff>266701</xdr:colOff>
      <xdr:row>25</xdr:row>
      <xdr:rowOff>76200</xdr:rowOff>
    </xdr:from>
    <xdr:to>
      <xdr:col>2</xdr:col>
      <xdr:colOff>888511</xdr:colOff>
      <xdr:row>25</xdr:row>
      <xdr:rowOff>600075</xdr:rowOff>
    </xdr:to>
    <xdr:pic>
      <xdr:nvPicPr>
        <xdr:cNvPr id="37" name="Picture 36" descr="Nevoswitch Multiswitch 5x5x8 F Terminal/Cascade Televes">
          <a:extLst>
            <a:ext uri="{FF2B5EF4-FFF2-40B4-BE49-F238E27FC236}">
              <a16:creationId xmlns:a16="http://schemas.microsoft.com/office/drawing/2014/main" id="{875FD454-28F1-4671-86E0-70397AF81B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875" b="6875"/>
        <a:stretch/>
      </xdr:blipFill>
      <xdr:spPr bwMode="auto">
        <a:xfrm>
          <a:off x="2533651" y="10934700"/>
          <a:ext cx="62181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161925</xdr:colOff>
      <xdr:row>25</xdr:row>
      <xdr:rowOff>221363</xdr:rowOff>
    </xdr:from>
    <xdr:ext cx="790575" cy="237040"/>
    <xdr:pic>
      <xdr:nvPicPr>
        <xdr:cNvPr id="38" name="image22.jpeg">
          <a:extLst>
            <a:ext uri="{FF2B5EF4-FFF2-40B4-BE49-F238E27FC236}">
              <a16:creationId xmlns:a16="http://schemas.microsoft.com/office/drawing/2014/main" id="{9C150688-B8CE-4D9D-9FF2-E7E85E98D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11079863"/>
          <a:ext cx="790575" cy="237040"/>
        </a:xfrm>
        <a:prstGeom prst="rect">
          <a:avLst/>
        </a:prstGeom>
      </xdr:spPr>
    </xdr:pic>
    <xdr:clientData/>
  </xdr:oneCellAnchor>
  <xdr:oneCellAnchor>
    <xdr:from>
      <xdr:col>1</xdr:col>
      <xdr:colOff>114301</xdr:colOff>
      <xdr:row>26</xdr:row>
      <xdr:rowOff>111412</xdr:rowOff>
    </xdr:from>
    <xdr:ext cx="762000" cy="228472"/>
    <xdr:pic>
      <xdr:nvPicPr>
        <xdr:cNvPr id="39" name="image22.jpeg">
          <a:extLst>
            <a:ext uri="{FF2B5EF4-FFF2-40B4-BE49-F238E27FC236}">
              <a16:creationId xmlns:a16="http://schemas.microsoft.com/office/drawing/2014/main" id="{46E88927-1A11-4FBB-8F1A-D1B5A7FCB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1" y="11617612"/>
          <a:ext cx="762000" cy="228472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27</xdr:row>
      <xdr:rowOff>129520</xdr:rowOff>
    </xdr:from>
    <xdr:ext cx="828675" cy="248463"/>
    <xdr:pic>
      <xdr:nvPicPr>
        <xdr:cNvPr id="40" name="image22.jpeg">
          <a:extLst>
            <a:ext uri="{FF2B5EF4-FFF2-40B4-BE49-F238E27FC236}">
              <a16:creationId xmlns:a16="http://schemas.microsoft.com/office/drawing/2014/main" id="{2658E9A9-8817-4045-A5E4-1A48509D3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12121495"/>
          <a:ext cx="828675" cy="248463"/>
        </a:xfrm>
        <a:prstGeom prst="rect">
          <a:avLst/>
        </a:prstGeom>
      </xdr:spPr>
    </xdr:pic>
    <xdr:clientData/>
  </xdr:oneCellAnchor>
  <xdr:oneCellAnchor>
    <xdr:from>
      <xdr:col>2</xdr:col>
      <xdr:colOff>257174</xdr:colOff>
      <xdr:row>26</xdr:row>
      <xdr:rowOff>49720</xdr:rowOff>
    </xdr:from>
    <xdr:ext cx="666751" cy="372117"/>
    <xdr:pic>
      <xdr:nvPicPr>
        <xdr:cNvPr id="41" name="image25.jpeg">
          <a:extLst>
            <a:ext uri="{FF2B5EF4-FFF2-40B4-BE49-F238E27FC236}">
              <a16:creationId xmlns:a16="http://schemas.microsoft.com/office/drawing/2014/main" id="{3D33D970-49D7-4838-BD8D-B50FAF7D1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4" y="11555920"/>
          <a:ext cx="666751" cy="372117"/>
        </a:xfrm>
        <a:prstGeom prst="rect">
          <a:avLst/>
        </a:prstGeom>
      </xdr:spPr>
    </xdr:pic>
    <xdr:clientData/>
  </xdr:oneCellAnchor>
  <xdr:oneCellAnchor>
    <xdr:from>
      <xdr:col>2</xdr:col>
      <xdr:colOff>285750</xdr:colOff>
      <xdr:row>27</xdr:row>
      <xdr:rowOff>47625</xdr:rowOff>
    </xdr:from>
    <xdr:ext cx="631282" cy="349104"/>
    <xdr:pic>
      <xdr:nvPicPr>
        <xdr:cNvPr id="42" name="image26.jpeg">
          <a:extLst>
            <a:ext uri="{FF2B5EF4-FFF2-40B4-BE49-F238E27FC236}">
              <a16:creationId xmlns:a16="http://schemas.microsoft.com/office/drawing/2014/main" id="{0DD47CE3-A226-4DE2-B68B-F4CE88EF4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2039600"/>
          <a:ext cx="631282" cy="349104"/>
        </a:xfrm>
        <a:prstGeom prst="rect">
          <a:avLst/>
        </a:prstGeom>
      </xdr:spPr>
    </xdr:pic>
    <xdr:clientData/>
  </xdr:oneCellAnchor>
  <xdr:twoCellAnchor editAs="oneCell">
    <xdr:from>
      <xdr:col>2</xdr:col>
      <xdr:colOff>85726</xdr:colOff>
      <xdr:row>28</xdr:row>
      <xdr:rowOff>87862</xdr:rowOff>
    </xdr:from>
    <xdr:to>
      <xdr:col>2</xdr:col>
      <xdr:colOff>676275</xdr:colOff>
      <xdr:row>28</xdr:row>
      <xdr:rowOff>523875</xdr:rowOff>
    </xdr:to>
    <xdr:pic>
      <xdr:nvPicPr>
        <xdr:cNvPr id="43" name="Picture 42" descr="https://secuview.com/wp-content/uploads/2025/02/Feature-Image-1-5.jpg">
          <a:extLst>
            <a:ext uri="{FF2B5EF4-FFF2-40B4-BE49-F238E27FC236}">
              <a16:creationId xmlns:a16="http://schemas.microsoft.com/office/drawing/2014/main" id="{27381024-9150-4983-8389-2D6253C81F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084" b="13084"/>
        <a:stretch/>
      </xdr:blipFill>
      <xdr:spPr bwMode="auto">
        <a:xfrm>
          <a:off x="2352676" y="12537037"/>
          <a:ext cx="590549" cy="436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171450</xdr:colOff>
      <xdr:row>28</xdr:row>
      <xdr:rowOff>259133</xdr:rowOff>
    </xdr:from>
    <xdr:ext cx="714375" cy="338076"/>
    <xdr:pic>
      <xdr:nvPicPr>
        <xdr:cNvPr id="44" name="image11.jpeg">
          <a:extLst>
            <a:ext uri="{FF2B5EF4-FFF2-40B4-BE49-F238E27FC236}">
              <a16:creationId xmlns:a16="http://schemas.microsoft.com/office/drawing/2014/main" id="{4D269A82-A324-4F26-BCEF-81A7DF1B7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2708308"/>
          <a:ext cx="714375" cy="338076"/>
        </a:xfrm>
        <a:prstGeom prst="rect">
          <a:avLst/>
        </a:prstGeom>
      </xdr:spPr>
    </xdr:pic>
    <xdr:clientData/>
  </xdr:oneCellAnchor>
  <xdr:oneCellAnchor>
    <xdr:from>
      <xdr:col>2</xdr:col>
      <xdr:colOff>542926</xdr:colOff>
      <xdr:row>28</xdr:row>
      <xdr:rowOff>466725</xdr:rowOff>
    </xdr:from>
    <xdr:ext cx="504824" cy="285750"/>
    <xdr:pic>
      <xdr:nvPicPr>
        <xdr:cNvPr id="45" name="image19.jpeg">
          <a:extLst>
            <a:ext uri="{FF2B5EF4-FFF2-40B4-BE49-F238E27FC236}">
              <a16:creationId xmlns:a16="http://schemas.microsoft.com/office/drawing/2014/main" id="{AF85B8AE-B6A3-4AE4-981E-452320F6F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6" y="12915900"/>
          <a:ext cx="504824" cy="285750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30</xdr:row>
      <xdr:rowOff>17010</xdr:rowOff>
    </xdr:from>
    <xdr:ext cx="742950" cy="351599"/>
    <xdr:pic>
      <xdr:nvPicPr>
        <xdr:cNvPr id="46" name="image11.jpeg">
          <a:extLst>
            <a:ext uri="{FF2B5EF4-FFF2-40B4-BE49-F238E27FC236}">
              <a16:creationId xmlns:a16="http://schemas.microsoft.com/office/drawing/2014/main" id="{91FD0DBC-85CC-4117-9BE1-7F0C78A0C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3475835"/>
          <a:ext cx="742950" cy="351599"/>
        </a:xfrm>
        <a:prstGeom prst="rect">
          <a:avLst/>
        </a:prstGeom>
      </xdr:spPr>
    </xdr:pic>
    <xdr:clientData/>
  </xdr:oneCellAnchor>
  <xdr:twoCellAnchor editAs="oneCell">
    <xdr:from>
      <xdr:col>2</xdr:col>
      <xdr:colOff>161927</xdr:colOff>
      <xdr:row>30</xdr:row>
      <xdr:rowOff>10848</xdr:rowOff>
    </xdr:from>
    <xdr:to>
      <xdr:col>2</xdr:col>
      <xdr:colOff>876301</xdr:colOff>
      <xdr:row>30</xdr:row>
      <xdr:rowOff>467254</xdr:rowOff>
    </xdr:to>
    <xdr:pic>
      <xdr:nvPicPr>
        <xdr:cNvPr id="47" name="Picture 46" descr="https://secuview.com/wp-content/uploads/SV-CHT610W-3.jpg">
          <a:extLst>
            <a:ext uri="{FF2B5EF4-FFF2-40B4-BE49-F238E27FC236}">
              <a16:creationId xmlns:a16="http://schemas.microsoft.com/office/drawing/2014/main" id="{E52AF918-CE59-44FA-9FC7-974E3E14D5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11" b="17500"/>
        <a:stretch/>
      </xdr:blipFill>
      <xdr:spPr bwMode="auto">
        <a:xfrm>
          <a:off x="2428877" y="13469673"/>
          <a:ext cx="714374" cy="456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209551</xdr:colOff>
      <xdr:row>31</xdr:row>
      <xdr:rowOff>114490</xdr:rowOff>
    </xdr:from>
    <xdr:to>
      <xdr:col>2</xdr:col>
      <xdr:colOff>876301</xdr:colOff>
      <xdr:row>31</xdr:row>
      <xdr:rowOff>559879</xdr:rowOff>
    </xdr:to>
    <xdr:pic>
      <xdr:nvPicPr>
        <xdr:cNvPr id="48" name="Picture 47" descr="https://secuview.com/wp-content/uploads/2-161.jpg">
          <a:extLst>
            <a:ext uri="{FF2B5EF4-FFF2-40B4-BE49-F238E27FC236}">
              <a16:creationId xmlns:a16="http://schemas.microsoft.com/office/drawing/2014/main" id="{CFAA81A0-97AC-4D13-8BB7-5D8FAC14C4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00" b="16600"/>
        <a:stretch/>
      </xdr:blipFill>
      <xdr:spPr bwMode="auto">
        <a:xfrm>
          <a:off x="2476501" y="14068615"/>
          <a:ext cx="666750" cy="445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133350</xdr:colOff>
      <xdr:row>31</xdr:row>
      <xdr:rowOff>131310</xdr:rowOff>
    </xdr:from>
    <xdr:ext cx="742950" cy="354465"/>
    <xdr:pic>
      <xdr:nvPicPr>
        <xdr:cNvPr id="49" name="image11.jpeg">
          <a:extLst>
            <a:ext uri="{FF2B5EF4-FFF2-40B4-BE49-F238E27FC236}">
              <a16:creationId xmlns:a16="http://schemas.microsoft.com/office/drawing/2014/main" id="{D234057B-3E7C-484D-99AB-2D5DD4372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4085435"/>
          <a:ext cx="742950" cy="354465"/>
        </a:xfrm>
        <a:prstGeom prst="rect">
          <a:avLst/>
        </a:prstGeom>
      </xdr:spPr>
    </xdr:pic>
    <xdr:clientData/>
  </xdr:oneCellAnchor>
  <xdr:twoCellAnchor editAs="oneCell">
    <xdr:from>
      <xdr:col>2</xdr:col>
      <xdr:colOff>38101</xdr:colOff>
      <xdr:row>32</xdr:row>
      <xdr:rowOff>114300</xdr:rowOff>
    </xdr:from>
    <xdr:to>
      <xdr:col>2</xdr:col>
      <xdr:colOff>1103007</xdr:colOff>
      <xdr:row>32</xdr:row>
      <xdr:rowOff>457200</xdr:rowOff>
    </xdr:to>
    <xdr:pic>
      <xdr:nvPicPr>
        <xdr:cNvPr id="50" name="Picture 49" descr="100W Public Address Power Amplifier">
          <a:extLst>
            <a:ext uri="{FF2B5EF4-FFF2-40B4-BE49-F238E27FC236}">
              <a16:creationId xmlns:a16="http://schemas.microsoft.com/office/drawing/2014/main" id="{14F970B8-F5F7-415A-9FF5-261D5EA346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600" b="33200"/>
        <a:stretch/>
      </xdr:blipFill>
      <xdr:spPr bwMode="auto">
        <a:xfrm>
          <a:off x="2305051" y="14716125"/>
          <a:ext cx="1064906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133350</xdr:colOff>
      <xdr:row>32</xdr:row>
      <xdr:rowOff>112260</xdr:rowOff>
    </xdr:from>
    <xdr:ext cx="742950" cy="351599"/>
    <xdr:pic>
      <xdr:nvPicPr>
        <xdr:cNvPr id="51" name="image11.jpeg">
          <a:extLst>
            <a:ext uri="{FF2B5EF4-FFF2-40B4-BE49-F238E27FC236}">
              <a16:creationId xmlns:a16="http://schemas.microsoft.com/office/drawing/2014/main" id="{4C57FB99-6879-4F86-B3A1-A8D619EAF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4714085"/>
          <a:ext cx="742950" cy="351599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13</xdr:row>
      <xdr:rowOff>108183</xdr:rowOff>
    </xdr:from>
    <xdr:ext cx="677983" cy="320854"/>
    <xdr:pic>
      <xdr:nvPicPr>
        <xdr:cNvPr id="52" name="image11.jpeg">
          <a:extLst>
            <a:ext uri="{FF2B5EF4-FFF2-40B4-BE49-F238E27FC236}">
              <a16:creationId xmlns:a16="http://schemas.microsoft.com/office/drawing/2014/main" id="{6B4C3B76-A6AB-4D3D-8C4C-77203DEAA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5594583"/>
          <a:ext cx="677983" cy="320854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17</xdr:row>
      <xdr:rowOff>85725</xdr:rowOff>
    </xdr:from>
    <xdr:ext cx="727592" cy="344331"/>
    <xdr:pic>
      <xdr:nvPicPr>
        <xdr:cNvPr id="53" name="image11.jpeg">
          <a:extLst>
            <a:ext uri="{FF2B5EF4-FFF2-40B4-BE49-F238E27FC236}">
              <a16:creationId xmlns:a16="http://schemas.microsoft.com/office/drawing/2014/main" id="{C9F3D3BC-053D-486E-9DEC-C42D9AB8A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7353300"/>
          <a:ext cx="727592" cy="344331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21</xdr:row>
      <xdr:rowOff>36060</xdr:rowOff>
    </xdr:from>
    <xdr:ext cx="742950" cy="351599"/>
    <xdr:pic>
      <xdr:nvPicPr>
        <xdr:cNvPr id="54" name="image11.jpeg">
          <a:extLst>
            <a:ext uri="{FF2B5EF4-FFF2-40B4-BE49-F238E27FC236}">
              <a16:creationId xmlns:a16="http://schemas.microsoft.com/office/drawing/2014/main" id="{7739DAF9-B743-4F20-ABBD-0515EFD63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9189585"/>
          <a:ext cx="742950" cy="351599"/>
        </a:xfrm>
        <a:prstGeom prst="rect">
          <a:avLst/>
        </a:prstGeom>
      </xdr:spPr>
    </xdr:pic>
    <xdr:clientData/>
  </xdr:oneCellAnchor>
  <xdr:twoCellAnchor editAs="oneCell">
    <xdr:from>
      <xdr:col>2</xdr:col>
      <xdr:colOff>304801</xdr:colOff>
      <xdr:row>33</xdr:row>
      <xdr:rowOff>59741</xdr:rowOff>
    </xdr:from>
    <xdr:to>
      <xdr:col>2</xdr:col>
      <xdr:colOff>819151</xdr:colOff>
      <xdr:row>33</xdr:row>
      <xdr:rowOff>545287</xdr:rowOff>
    </xdr:to>
    <xdr:pic>
      <xdr:nvPicPr>
        <xdr:cNvPr id="55" name="Picture 54" descr="MTS.CABLE PARALELO 2X0,75 MM">
          <a:extLst>
            <a:ext uri="{FF2B5EF4-FFF2-40B4-BE49-F238E27FC236}">
              <a16:creationId xmlns:a16="http://schemas.microsoft.com/office/drawing/2014/main" id="{4762EAB9-F240-48D9-8171-4E13BBA82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1" y="15309266"/>
          <a:ext cx="514350" cy="485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123825</xdr:colOff>
      <xdr:row>33</xdr:row>
      <xdr:rowOff>83685</xdr:rowOff>
    </xdr:from>
    <xdr:ext cx="742950" cy="351599"/>
    <xdr:pic>
      <xdr:nvPicPr>
        <xdr:cNvPr id="56" name="image11.jpeg">
          <a:extLst>
            <a:ext uri="{FF2B5EF4-FFF2-40B4-BE49-F238E27FC236}">
              <a16:creationId xmlns:a16="http://schemas.microsoft.com/office/drawing/2014/main" id="{8F12AF39-D8F5-49C0-AFE4-30B54CB57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15333210"/>
          <a:ext cx="742950" cy="351599"/>
        </a:xfrm>
        <a:prstGeom prst="rect">
          <a:avLst/>
        </a:prstGeom>
      </xdr:spPr>
    </xdr:pic>
    <xdr:clientData/>
  </xdr:oneCellAnchor>
  <xdr:twoCellAnchor editAs="oneCell">
    <xdr:from>
      <xdr:col>2</xdr:col>
      <xdr:colOff>361950</xdr:colOff>
      <xdr:row>35</xdr:row>
      <xdr:rowOff>40424</xdr:rowOff>
    </xdr:from>
    <xdr:to>
      <xdr:col>2</xdr:col>
      <xdr:colOff>828675</xdr:colOff>
      <xdr:row>35</xdr:row>
      <xdr:rowOff>456743</xdr:rowOff>
    </xdr:to>
    <xdr:pic>
      <xdr:nvPicPr>
        <xdr:cNvPr id="57" name="Picture 56" descr="https://secuview.com/wp-content/uploads/2025/02/2-4.jpg">
          <a:extLst>
            <a:ext uri="{FF2B5EF4-FFF2-40B4-BE49-F238E27FC236}">
              <a16:creationId xmlns:a16="http://schemas.microsoft.com/office/drawing/2014/main" id="{CAB7524E-DB71-4410-953D-0994350BC8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00" b="5799"/>
        <a:stretch/>
      </xdr:blipFill>
      <xdr:spPr bwMode="auto">
        <a:xfrm>
          <a:off x="2628900" y="16032899"/>
          <a:ext cx="466725" cy="416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142875</xdr:colOff>
      <xdr:row>35</xdr:row>
      <xdr:rowOff>55110</xdr:rowOff>
    </xdr:from>
    <xdr:ext cx="742950" cy="351599"/>
    <xdr:pic>
      <xdr:nvPicPr>
        <xdr:cNvPr id="58" name="image11.jpeg">
          <a:extLst>
            <a:ext uri="{FF2B5EF4-FFF2-40B4-BE49-F238E27FC236}">
              <a16:creationId xmlns:a16="http://schemas.microsoft.com/office/drawing/2014/main" id="{44201B7D-7E78-4C4B-8E41-EBAD942BC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6047585"/>
          <a:ext cx="742950" cy="3515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1"/>
  <sheetViews>
    <sheetView tabSelected="1" zoomScale="85" zoomScaleNormal="85" workbookViewId="0">
      <selection activeCell="E40" sqref="E40"/>
    </sheetView>
  </sheetViews>
  <sheetFormatPr defaultRowHeight="15" x14ac:dyDescent="0.25"/>
  <cols>
    <col min="1" max="1" width="6" customWidth="1"/>
    <col min="2" max="2" width="16.28515625" customWidth="1"/>
    <col min="3" max="3" width="17.140625" customWidth="1"/>
    <col min="4" max="4" width="47.140625" customWidth="1"/>
    <col min="5" max="5" width="8" customWidth="1"/>
    <col min="6" max="6" width="8.140625" customWidth="1"/>
    <col min="7" max="7" width="14" customWidth="1"/>
  </cols>
  <sheetData>
    <row r="1" spans="1:7" ht="92.25" customHeight="1" x14ac:dyDescent="0.25">
      <c r="A1" s="46"/>
      <c r="B1" s="47"/>
      <c r="C1" s="47"/>
      <c r="D1" s="47"/>
      <c r="E1" s="47"/>
      <c r="F1" s="47"/>
      <c r="G1" s="48"/>
    </row>
    <row r="2" spans="1:7" x14ac:dyDescent="0.25">
      <c r="A2" s="49" t="s">
        <v>0</v>
      </c>
      <c r="B2" s="32"/>
      <c r="C2" s="32"/>
      <c r="D2" s="32"/>
      <c r="E2" s="32"/>
      <c r="F2" s="32"/>
      <c r="G2" s="33"/>
    </row>
    <row r="3" spans="1:7" x14ac:dyDescent="0.25">
      <c r="A3" s="50" t="s">
        <v>47</v>
      </c>
      <c r="B3" s="32"/>
      <c r="C3" s="32"/>
      <c r="D3" s="32"/>
      <c r="E3" s="32"/>
      <c r="F3" s="32"/>
      <c r="G3" s="33"/>
    </row>
    <row r="4" spans="1:7" x14ac:dyDescent="0.25">
      <c r="A4" s="34"/>
      <c r="B4" s="13"/>
      <c r="C4" s="13"/>
      <c r="D4" s="13"/>
      <c r="E4" s="13"/>
      <c r="F4" s="13"/>
      <c r="G4" s="35"/>
    </row>
    <row r="5" spans="1:7" ht="18.75" x14ac:dyDescent="0.3">
      <c r="A5" s="51" t="s">
        <v>2</v>
      </c>
      <c r="B5" s="32"/>
      <c r="C5" s="32"/>
      <c r="D5" s="52" t="s">
        <v>3</v>
      </c>
      <c r="E5" s="32"/>
      <c r="F5" s="32"/>
      <c r="G5" s="33"/>
    </row>
    <row r="6" spans="1:7" x14ac:dyDescent="0.25">
      <c r="A6" s="53" t="s">
        <v>46</v>
      </c>
      <c r="B6" s="32"/>
      <c r="C6" s="32"/>
      <c r="D6" s="32"/>
      <c r="E6" s="32"/>
      <c r="F6" s="32"/>
      <c r="G6" s="33"/>
    </row>
    <row r="7" spans="1:7" x14ac:dyDescent="0.25">
      <c r="A7" s="34"/>
      <c r="B7" s="13"/>
      <c r="C7" s="13"/>
      <c r="D7" s="13"/>
      <c r="E7" s="13"/>
      <c r="F7" s="13"/>
      <c r="G7" s="35"/>
    </row>
    <row r="8" spans="1:7" ht="30" x14ac:dyDescent="0.25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</row>
    <row r="9" spans="1:7" ht="48.75" customHeight="1" x14ac:dyDescent="0.25">
      <c r="A9" s="2">
        <v>1</v>
      </c>
      <c r="B9" s="3"/>
      <c r="C9" s="4"/>
      <c r="D9" s="3" t="s">
        <v>30</v>
      </c>
      <c r="E9" s="2">
        <v>6</v>
      </c>
      <c r="F9" s="5">
        <v>285</v>
      </c>
      <c r="G9" s="5">
        <f>E9*F9</f>
        <v>1710</v>
      </c>
    </row>
    <row r="10" spans="1:7" ht="53.25" customHeight="1" x14ac:dyDescent="0.25">
      <c r="A10" s="2">
        <v>2</v>
      </c>
      <c r="B10" s="56"/>
      <c r="C10" s="4"/>
      <c r="D10" s="3" t="s">
        <v>32</v>
      </c>
      <c r="E10" s="2">
        <v>1</v>
      </c>
      <c r="F10" s="5">
        <v>600</v>
      </c>
      <c r="G10" s="5">
        <f t="shared" ref="G10:G14" si="0">E10*F10</f>
        <v>600</v>
      </c>
    </row>
    <row r="11" spans="1:7" ht="41.25" customHeight="1" x14ac:dyDescent="0.25">
      <c r="A11" s="2">
        <v>3</v>
      </c>
      <c r="B11" s="56"/>
      <c r="C11" s="4"/>
      <c r="D11" s="3" t="s">
        <v>11</v>
      </c>
      <c r="E11" s="2">
        <v>1</v>
      </c>
      <c r="F11" s="54">
        <v>520</v>
      </c>
      <c r="G11" s="5">
        <f t="shared" si="0"/>
        <v>520</v>
      </c>
    </row>
    <row r="12" spans="1:7" ht="34.5" customHeight="1" x14ac:dyDescent="0.25">
      <c r="A12" s="2">
        <v>4</v>
      </c>
      <c r="B12" s="56"/>
      <c r="C12" s="4"/>
      <c r="D12" s="3" t="s">
        <v>12</v>
      </c>
      <c r="E12" s="2">
        <v>2</v>
      </c>
      <c r="F12" s="5">
        <v>1600</v>
      </c>
      <c r="G12" s="5">
        <f t="shared" si="0"/>
        <v>3200</v>
      </c>
    </row>
    <row r="13" spans="1:7" ht="38.25" customHeight="1" x14ac:dyDescent="0.25">
      <c r="A13" s="2">
        <v>5</v>
      </c>
      <c r="B13" s="56"/>
      <c r="C13" s="4"/>
      <c r="D13" s="3" t="s">
        <v>13</v>
      </c>
      <c r="E13" s="2">
        <v>1</v>
      </c>
      <c r="F13" s="5">
        <v>350</v>
      </c>
      <c r="G13" s="5">
        <f t="shared" si="0"/>
        <v>350</v>
      </c>
    </row>
    <row r="14" spans="1:7" ht="40.5" customHeight="1" x14ac:dyDescent="0.25">
      <c r="A14" s="2">
        <v>6</v>
      </c>
      <c r="B14" s="56"/>
      <c r="C14" s="4"/>
      <c r="D14" s="3" t="s">
        <v>31</v>
      </c>
      <c r="E14" s="2">
        <v>7</v>
      </c>
      <c r="F14" s="5">
        <v>400</v>
      </c>
      <c r="G14" s="5">
        <f t="shared" si="0"/>
        <v>2800</v>
      </c>
    </row>
    <row r="15" spans="1:7" x14ac:dyDescent="0.25">
      <c r="A15" s="14"/>
      <c r="B15" s="57"/>
      <c r="C15" s="16"/>
      <c r="D15" s="18" t="s">
        <v>33</v>
      </c>
      <c r="E15" s="19"/>
      <c r="F15" s="20"/>
      <c r="G15" s="21">
        <f>SUM(G9:G14)</f>
        <v>9180</v>
      </c>
    </row>
    <row r="16" spans="1:7" ht="44.25" customHeight="1" x14ac:dyDescent="0.25">
      <c r="A16" s="2">
        <v>7</v>
      </c>
      <c r="B16" s="56"/>
      <c r="C16" s="4"/>
      <c r="D16" s="3" t="s">
        <v>15</v>
      </c>
      <c r="E16" s="2">
        <v>1</v>
      </c>
      <c r="F16" s="5">
        <v>1277</v>
      </c>
      <c r="G16" s="5">
        <f>E16*F16</f>
        <v>1277</v>
      </c>
    </row>
    <row r="17" spans="1:7" ht="40.5" customHeight="1" x14ac:dyDescent="0.25">
      <c r="A17" s="2">
        <v>8</v>
      </c>
      <c r="B17" s="56"/>
      <c r="C17" s="4"/>
      <c r="D17" s="3" t="s">
        <v>34</v>
      </c>
      <c r="E17" s="2">
        <v>1</v>
      </c>
      <c r="F17" s="5">
        <v>250</v>
      </c>
      <c r="G17" s="5">
        <f t="shared" ref="G17:G18" si="1">E17*F17</f>
        <v>250</v>
      </c>
    </row>
    <row r="18" spans="1:7" ht="38.25" customHeight="1" x14ac:dyDescent="0.25">
      <c r="A18" s="7">
        <v>9</v>
      </c>
      <c r="B18" s="58"/>
      <c r="C18" s="4"/>
      <c r="D18" s="8" t="s">
        <v>35</v>
      </c>
      <c r="E18" s="7">
        <v>1</v>
      </c>
      <c r="F18" s="9">
        <v>500</v>
      </c>
      <c r="G18" s="5">
        <f t="shared" si="1"/>
        <v>500</v>
      </c>
    </row>
    <row r="19" spans="1:7" x14ac:dyDescent="0.25">
      <c r="A19" s="14"/>
      <c r="B19" s="15"/>
      <c r="C19" s="16"/>
      <c r="D19" s="18" t="s">
        <v>36</v>
      </c>
      <c r="E19" s="19"/>
      <c r="F19" s="20"/>
      <c r="G19" s="21">
        <f>SUM(G16:G18)</f>
        <v>2027</v>
      </c>
    </row>
    <row r="20" spans="1:7" ht="44.25" customHeight="1" x14ac:dyDescent="0.25">
      <c r="A20" s="10">
        <v>10</v>
      </c>
      <c r="B20" s="11"/>
      <c r="C20" s="4"/>
      <c r="D20" s="11" t="s">
        <v>16</v>
      </c>
      <c r="E20" s="10">
        <v>5</v>
      </c>
      <c r="F20" s="12">
        <v>299</v>
      </c>
      <c r="G20" s="12">
        <f>E20*F20</f>
        <v>1495</v>
      </c>
    </row>
    <row r="21" spans="1:7" ht="51" x14ac:dyDescent="0.25">
      <c r="A21" s="10">
        <v>11</v>
      </c>
      <c r="B21" s="11"/>
      <c r="C21" s="4"/>
      <c r="D21" s="11" t="s">
        <v>37</v>
      </c>
      <c r="E21" s="10">
        <v>1</v>
      </c>
      <c r="F21" s="12">
        <v>620</v>
      </c>
      <c r="G21" s="12">
        <f t="shared" ref="G21:G22" si="2">E21*F21</f>
        <v>620</v>
      </c>
    </row>
    <row r="22" spans="1:7" ht="30.75" customHeight="1" x14ac:dyDescent="0.25">
      <c r="A22" s="22">
        <v>12</v>
      </c>
      <c r="B22" s="23"/>
      <c r="C22" s="4"/>
      <c r="D22" s="8" t="s">
        <v>35</v>
      </c>
      <c r="E22" s="22">
        <v>5</v>
      </c>
      <c r="F22" s="24">
        <v>400</v>
      </c>
      <c r="G22" s="12">
        <f t="shared" si="2"/>
        <v>2000</v>
      </c>
    </row>
    <row r="23" spans="1:7" x14ac:dyDescent="0.25">
      <c r="A23" s="14"/>
      <c r="B23" s="15"/>
      <c r="C23" s="16"/>
      <c r="D23" s="18" t="s">
        <v>38</v>
      </c>
      <c r="E23" s="19"/>
      <c r="F23" s="20"/>
      <c r="G23" s="21">
        <f>SUM(G20:G22)</f>
        <v>4115</v>
      </c>
    </row>
    <row r="24" spans="1:7" ht="46.5" customHeight="1" x14ac:dyDescent="0.25">
      <c r="A24" s="10">
        <v>13</v>
      </c>
      <c r="B24" s="11"/>
      <c r="C24" s="4"/>
      <c r="D24" s="11" t="s">
        <v>37</v>
      </c>
      <c r="E24" s="10">
        <v>1</v>
      </c>
      <c r="F24" s="12">
        <v>620</v>
      </c>
      <c r="G24" s="12">
        <f>E24*F24</f>
        <v>620</v>
      </c>
    </row>
    <row r="25" spans="1:7" ht="42" customHeight="1" x14ac:dyDescent="0.25">
      <c r="A25" s="10">
        <v>14</v>
      </c>
      <c r="B25" s="11"/>
      <c r="C25" s="4"/>
      <c r="D25" s="11" t="s">
        <v>17</v>
      </c>
      <c r="E25" s="10">
        <v>12</v>
      </c>
      <c r="F25" s="12">
        <v>17.5</v>
      </c>
      <c r="G25" s="12">
        <f t="shared" ref="G25:G29" si="3">E25*F25</f>
        <v>210</v>
      </c>
    </row>
    <row r="26" spans="1:7" ht="51" x14ac:dyDescent="0.25">
      <c r="A26" s="10">
        <v>15</v>
      </c>
      <c r="B26" s="11"/>
      <c r="C26" s="4"/>
      <c r="D26" s="11" t="s">
        <v>39</v>
      </c>
      <c r="E26" s="10">
        <v>1</v>
      </c>
      <c r="F26" s="12">
        <v>1500</v>
      </c>
      <c r="G26" s="12">
        <f t="shared" si="3"/>
        <v>1500</v>
      </c>
    </row>
    <row r="27" spans="1:7" ht="38.25" customHeight="1" x14ac:dyDescent="0.25">
      <c r="A27" s="10">
        <v>16</v>
      </c>
      <c r="B27" s="11"/>
      <c r="C27" s="4"/>
      <c r="D27" s="11" t="s">
        <v>50</v>
      </c>
      <c r="E27" s="10">
        <v>2</v>
      </c>
      <c r="F27" s="12">
        <v>150</v>
      </c>
      <c r="G27" s="12">
        <f t="shared" si="3"/>
        <v>300</v>
      </c>
    </row>
    <row r="28" spans="1:7" ht="36" x14ac:dyDescent="0.25">
      <c r="A28" s="2">
        <v>17</v>
      </c>
      <c r="B28" s="3"/>
      <c r="C28" s="4"/>
      <c r="D28" s="55" t="s">
        <v>51</v>
      </c>
      <c r="E28" s="26">
        <v>2</v>
      </c>
      <c r="F28" s="25">
        <v>130</v>
      </c>
      <c r="G28" s="12">
        <f t="shared" si="3"/>
        <v>260</v>
      </c>
    </row>
    <row r="29" spans="1:7" ht="64.5" customHeight="1" x14ac:dyDescent="0.25">
      <c r="A29" s="7">
        <v>18</v>
      </c>
      <c r="B29" s="8"/>
      <c r="C29" s="4"/>
      <c r="D29" s="8" t="s">
        <v>40</v>
      </c>
      <c r="E29" s="27">
        <v>12</v>
      </c>
      <c r="F29" s="28">
        <v>750</v>
      </c>
      <c r="G29" s="12">
        <f t="shared" si="3"/>
        <v>9000</v>
      </c>
    </row>
    <row r="30" spans="1:7" x14ac:dyDescent="0.25">
      <c r="A30" s="14"/>
      <c r="B30" s="15"/>
      <c r="C30" s="16"/>
      <c r="D30" s="18" t="s">
        <v>41</v>
      </c>
      <c r="E30" s="19"/>
      <c r="F30" s="20"/>
      <c r="G30" s="21">
        <f>SUM(G24:G29)</f>
        <v>11890</v>
      </c>
    </row>
    <row r="31" spans="1:7" ht="39" customHeight="1" x14ac:dyDescent="0.25">
      <c r="A31" s="10">
        <v>19</v>
      </c>
      <c r="B31" s="11"/>
      <c r="C31" s="4"/>
      <c r="D31" s="11" t="s">
        <v>18</v>
      </c>
      <c r="E31" s="10">
        <v>10</v>
      </c>
      <c r="F31" s="12">
        <v>120</v>
      </c>
      <c r="G31" s="12">
        <f>E31*F31</f>
        <v>1200</v>
      </c>
    </row>
    <row r="32" spans="1:7" ht="51" x14ac:dyDescent="0.25">
      <c r="A32" s="10">
        <v>20</v>
      </c>
      <c r="B32" s="11"/>
      <c r="C32" s="4"/>
      <c r="D32" s="11" t="s">
        <v>42</v>
      </c>
      <c r="E32" s="10">
        <v>5</v>
      </c>
      <c r="F32" s="12">
        <v>72</v>
      </c>
      <c r="G32" s="12">
        <f t="shared" ref="G32:G34" si="4">E32*F32</f>
        <v>360</v>
      </c>
    </row>
    <row r="33" spans="1:7" ht="51" x14ac:dyDescent="0.25">
      <c r="A33" s="2">
        <v>21</v>
      </c>
      <c r="B33" s="3"/>
      <c r="C33" s="4"/>
      <c r="D33" s="3" t="s">
        <v>43</v>
      </c>
      <c r="E33" s="2">
        <v>1</v>
      </c>
      <c r="F33" s="5">
        <v>950</v>
      </c>
      <c r="G33" s="12">
        <f t="shared" si="4"/>
        <v>950</v>
      </c>
    </row>
    <row r="34" spans="1:7" ht="43.5" customHeight="1" x14ac:dyDescent="0.25">
      <c r="A34" s="7">
        <v>22</v>
      </c>
      <c r="B34" s="8"/>
      <c r="C34" s="4"/>
      <c r="D34" s="8" t="s">
        <v>44</v>
      </c>
      <c r="E34" s="7">
        <v>15</v>
      </c>
      <c r="F34" s="9">
        <v>110</v>
      </c>
      <c r="G34" s="12">
        <f t="shared" si="4"/>
        <v>1650</v>
      </c>
    </row>
    <row r="35" spans="1:7" x14ac:dyDescent="0.25">
      <c r="A35" s="14"/>
      <c r="B35" s="15"/>
      <c r="C35" s="16"/>
      <c r="D35" s="18" t="s">
        <v>45</v>
      </c>
      <c r="E35" s="19"/>
      <c r="F35" s="20"/>
      <c r="G35" s="21">
        <f>SUM(G31:G34)</f>
        <v>4160</v>
      </c>
    </row>
    <row r="36" spans="1:7" ht="36.75" customHeight="1" x14ac:dyDescent="0.25">
      <c r="A36" s="29">
        <v>23</v>
      </c>
      <c r="B36" s="3"/>
      <c r="C36" s="4"/>
      <c r="D36" s="3" t="s">
        <v>14</v>
      </c>
      <c r="E36" s="2">
        <v>1</v>
      </c>
      <c r="F36" s="5">
        <v>1150</v>
      </c>
      <c r="G36" s="5">
        <v>1150</v>
      </c>
    </row>
    <row r="37" spans="1:7" ht="15.75" x14ac:dyDescent="0.25">
      <c r="A37" s="36" t="s">
        <v>19</v>
      </c>
      <c r="B37" s="37"/>
      <c r="C37" s="37"/>
      <c r="D37" s="37"/>
      <c r="E37" s="38">
        <f>G15+G19+G23+G30+G35+1150</f>
        <v>32522</v>
      </c>
      <c r="F37" s="37"/>
      <c r="G37" s="37"/>
    </row>
    <row r="38" spans="1:7" ht="15.75" x14ac:dyDescent="0.25">
      <c r="A38" s="39"/>
      <c r="B38" s="13"/>
      <c r="C38" s="13"/>
      <c r="D38" s="41" t="s">
        <v>48</v>
      </c>
      <c r="E38" s="40"/>
      <c r="F38" s="13"/>
      <c r="G38" s="42">
        <v>552</v>
      </c>
    </row>
    <row r="39" spans="1:7" ht="18.75" x14ac:dyDescent="0.25">
      <c r="A39" s="59" t="s">
        <v>20</v>
      </c>
      <c r="B39" s="60"/>
      <c r="C39" s="60"/>
      <c r="D39" s="60"/>
      <c r="E39" s="61">
        <f>32522-522</f>
        <v>32000</v>
      </c>
      <c r="F39" s="60"/>
      <c r="G39" s="62"/>
    </row>
    <row r="40" spans="1:7" x14ac:dyDescent="0.25">
      <c r="A40" s="30"/>
      <c r="B40" s="17"/>
      <c r="C40" s="17"/>
      <c r="D40" s="17"/>
      <c r="E40" s="17"/>
      <c r="F40" s="17"/>
      <c r="G40" s="31"/>
    </row>
    <row r="41" spans="1:7" x14ac:dyDescent="0.25">
      <c r="A41" s="43" t="s">
        <v>21</v>
      </c>
      <c r="B41" s="6"/>
      <c r="C41" s="6"/>
      <c r="D41" s="6"/>
      <c r="E41" s="6"/>
      <c r="F41" s="6"/>
      <c r="G41" s="6"/>
    </row>
    <row r="42" spans="1:7" x14ac:dyDescent="0.25">
      <c r="A42" s="44" t="s">
        <v>22</v>
      </c>
      <c r="B42" s="6"/>
      <c r="C42" s="6"/>
      <c r="D42" s="6"/>
      <c r="E42" s="6"/>
      <c r="F42" s="6"/>
      <c r="G42" s="6"/>
    </row>
    <row r="43" spans="1:7" ht="25.5" customHeight="1" x14ac:dyDescent="0.25">
      <c r="A43" s="44" t="s">
        <v>23</v>
      </c>
      <c r="B43" s="6"/>
      <c r="C43" s="6"/>
      <c r="D43" s="6"/>
      <c r="E43" s="6"/>
      <c r="F43" s="6"/>
      <c r="G43" s="6"/>
    </row>
    <row r="44" spans="1:7" x14ac:dyDescent="0.25">
      <c r="A44" s="44" t="s">
        <v>24</v>
      </c>
      <c r="B44" s="6"/>
      <c r="C44" s="6"/>
      <c r="D44" s="6"/>
      <c r="E44" s="6"/>
      <c r="F44" s="6"/>
      <c r="G44" s="6"/>
    </row>
    <row r="45" spans="1:7" x14ac:dyDescent="0.25">
      <c r="A45" s="44" t="s">
        <v>25</v>
      </c>
      <c r="B45" s="6"/>
      <c r="C45" s="6"/>
      <c r="D45" s="6"/>
      <c r="E45" s="6"/>
      <c r="F45" s="6"/>
      <c r="G45" s="6"/>
    </row>
    <row r="46" spans="1:7" x14ac:dyDescent="0.25">
      <c r="A46" s="44" t="s">
        <v>26</v>
      </c>
      <c r="B46" s="6"/>
      <c r="C46" s="6"/>
      <c r="D46" s="6"/>
      <c r="E46" s="6"/>
      <c r="F46" s="6"/>
      <c r="G46" s="6"/>
    </row>
    <row r="47" spans="1:7" x14ac:dyDescent="0.25">
      <c r="A47" s="44" t="s">
        <v>27</v>
      </c>
      <c r="B47" s="6"/>
      <c r="C47" s="6"/>
      <c r="D47" s="6"/>
      <c r="E47" s="6"/>
      <c r="F47" s="6"/>
      <c r="G47" s="6"/>
    </row>
    <row r="48" spans="1:7" x14ac:dyDescent="0.25">
      <c r="A48" s="44" t="s">
        <v>28</v>
      </c>
      <c r="B48" s="6"/>
      <c r="C48" s="6"/>
      <c r="D48" s="6"/>
      <c r="E48" s="6"/>
      <c r="F48" s="6"/>
      <c r="G48" s="6"/>
    </row>
    <row r="49" spans="1:7" x14ac:dyDescent="0.25">
      <c r="A49" s="44" t="s">
        <v>29</v>
      </c>
      <c r="B49" s="6"/>
      <c r="C49" s="6"/>
      <c r="D49" s="6"/>
      <c r="E49" s="6"/>
      <c r="F49" s="6"/>
      <c r="G49" s="6"/>
    </row>
    <row r="50" spans="1:7" x14ac:dyDescent="0.25">
      <c r="A50" s="4"/>
      <c r="B50" s="4"/>
      <c r="C50" s="4"/>
      <c r="D50" s="4"/>
      <c r="E50" s="4" t="s">
        <v>49</v>
      </c>
      <c r="F50" s="4"/>
      <c r="G50" s="4"/>
    </row>
    <row r="51" spans="1:7" x14ac:dyDescent="0.25">
      <c r="A51" s="45" t="s">
        <v>1</v>
      </c>
      <c r="B51" s="6"/>
      <c r="C51" s="6"/>
      <c r="D51" s="6"/>
      <c r="E51" s="6"/>
      <c r="F51" s="6"/>
      <c r="G51" s="6"/>
    </row>
  </sheetData>
  <mergeCells count="20">
    <mergeCell ref="A1:G1"/>
    <mergeCell ref="A6:G6"/>
    <mergeCell ref="A48:G48"/>
    <mergeCell ref="A37:D37"/>
    <mergeCell ref="A3:G3"/>
    <mergeCell ref="A2:G2"/>
    <mergeCell ref="A44:G44"/>
    <mergeCell ref="A51:G51"/>
    <mergeCell ref="A5:C5"/>
    <mergeCell ref="E37:G37"/>
    <mergeCell ref="A42:G42"/>
    <mergeCell ref="A45:G45"/>
    <mergeCell ref="A41:G41"/>
    <mergeCell ref="A47:G47"/>
    <mergeCell ref="A43:G43"/>
    <mergeCell ref="E39:G39"/>
    <mergeCell ref="A46:G46"/>
    <mergeCell ref="A49:G49"/>
    <mergeCell ref="D5:G5"/>
    <mergeCell ref="A39:D39"/>
  </mergeCells>
  <pageMargins left="0.7" right="0.7" top="0.75" bottom="0.75" header="0.3" footer="0.3"/>
  <pageSetup paperSize="9" scale="74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lastPrinted>2026-06-10T13:12:51Z</cp:lastPrinted>
  <dcterms:created xsi:type="dcterms:W3CDTF">2026-06-10T09:37:55Z</dcterms:created>
  <dcterms:modified xsi:type="dcterms:W3CDTF">2026-06-10T13:13:04Z</dcterms:modified>
</cp:coreProperties>
</file>