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fif" ContentType="image/jpe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MOI WORKS AND QOUTES AND RFQ\mosque\"/>
    </mc:Choice>
  </mc:AlternateContent>
  <bookViews>
    <workbookView xWindow="0" yWindow="0" windowWidth="23040" windowHeight="8616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" i="1" l="1"/>
  <c r="F39" i="1"/>
  <c r="F41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 l="1"/>
  <c r="F14" i="1"/>
  <c r="F13" i="1"/>
  <c r="F12" i="1"/>
  <c r="F10" i="1" l="1"/>
  <c r="F8" i="1"/>
  <c r="F7" i="1" l="1"/>
  <c r="F11" i="1" l="1"/>
  <c r="F9" i="1"/>
  <c r="F6" i="1" l="1"/>
  <c r="D42" i="1" s="1"/>
  <c r="D44" i="1" l="1"/>
</calcChain>
</file>

<file path=xl/sharedStrings.xml><?xml version="1.0" encoding="utf-8"?>
<sst xmlns="http://schemas.openxmlformats.org/spreadsheetml/2006/main" count="58" uniqueCount="58">
  <si>
    <r>
      <rPr>
        <sz val="14"/>
        <rFont val="Microsoft Sans Serif"/>
        <family val="2"/>
      </rPr>
      <t>Total:</t>
    </r>
  </si>
  <si>
    <r>
      <rPr>
        <sz val="14"/>
        <rFont val="Microsoft Sans Serif"/>
        <family val="2"/>
      </rPr>
      <t>Discount:</t>
    </r>
  </si>
  <si>
    <r>
      <rPr>
        <sz val="14"/>
        <rFont val="Microsoft Sans Serif"/>
        <family val="2"/>
      </rPr>
      <t>Grand total:</t>
    </r>
  </si>
  <si>
    <t>Model</t>
  </si>
  <si>
    <r>
      <rPr>
        <b/>
        <sz val="9"/>
        <color rgb="FF202020"/>
        <rFont val="Arial"/>
        <family val="2"/>
      </rPr>
      <t>Description</t>
    </r>
  </si>
  <si>
    <t>Image</t>
  </si>
  <si>
    <t>Qty</t>
  </si>
  <si>
    <t>Price</t>
  </si>
  <si>
    <t>Amount</t>
  </si>
  <si>
    <t>1.All the above price are in QAR (Qatari Riyals)</t>
  </si>
  <si>
    <t xml:space="preserve">This quotation is subject to STARFOX standard terms and condition which are availabel on Requet </t>
  </si>
  <si>
    <t>Price and specificatino may change without prior Notice</t>
  </si>
  <si>
    <t>Salwa Road ,Doha,Qatar Tel:+974 44691741 Fax:+974 44691835 Eamai :info@starfoxsecu.com Website:www.starfoxsecu.com</t>
  </si>
  <si>
    <r>
      <t>2.Terms of payment 50</t>
    </r>
    <r>
      <rPr>
        <b/>
        <sz val="9"/>
        <color theme="1"/>
        <rFont val="Calibri"/>
        <family val="2"/>
        <scheme val="minor"/>
      </rPr>
      <t>%</t>
    </r>
    <r>
      <rPr>
        <sz val="9"/>
        <color theme="1"/>
        <rFont val="Calibri"/>
        <family val="2"/>
        <scheme val="minor"/>
      </rPr>
      <t xml:space="preserve"> up on signing the contract downpayment  and </t>
    </r>
    <r>
      <rPr>
        <b/>
        <sz val="9"/>
        <color theme="1"/>
        <rFont val="Calibri"/>
        <family val="2"/>
        <scheme val="minor"/>
      </rPr>
      <t xml:space="preserve"> 50%</t>
    </r>
    <r>
      <rPr>
        <sz val="9"/>
        <color theme="1"/>
        <rFont val="Calibri"/>
        <family val="2"/>
        <scheme val="minor"/>
      </rPr>
      <t xml:space="preserve"> Before instaling the devices and hand over the project </t>
    </r>
  </si>
  <si>
    <t xml:space="preserve">ابو سدرة </t>
  </si>
  <si>
    <r>
      <t xml:space="preserve">3.Warranty: </t>
    </r>
    <r>
      <rPr>
        <sz val="9"/>
        <color rgb="FFFF0000"/>
        <rFont val="Calibri"/>
        <family val="2"/>
        <scheme val="minor"/>
      </rPr>
      <t xml:space="preserve">2   YEARS </t>
    </r>
    <r>
      <rPr>
        <sz val="9"/>
        <color theme="1"/>
        <rFont val="Calibri"/>
        <family val="2"/>
        <scheme val="minor"/>
      </rPr>
      <t xml:space="preserve"> for NVR and Cameraproject </t>
    </r>
  </si>
  <si>
    <t xml:space="preserve">Camera System instlitan and confgritan pipe and cable </t>
  </si>
  <si>
    <t xml:space="preserve">MOSQUE   UMM SALAL                                                     تلفون :                                                    </t>
  </si>
  <si>
    <t>2MP Lite IR Fixed-focal Eyeball Network Camera, H.265 codec
high compression rate, ultra-low bit rate, Built-in IR LED, max IR
distance: 30 m, 12V DC/PoE power support, IP67
protection</t>
  </si>
  <si>
    <t xml:space="preserve">2MP ACUSENSE MOTORIZED VARIFOCAL Network Camera, H.265 codec
high compression rate, ultra-low bit rate, Built-in IR LED, max IR
distance: 30 m, 12V DC/PoE power support, IP67
protection </t>
  </si>
  <si>
    <t xml:space="preserve">2MP fixed bullet network camera , H.265 codec , high compression rate ,  Built-in IR LED, max IR
distance: 30 m, 12V DC/PoE power support, IP67
protection </t>
  </si>
  <si>
    <t xml:space="preserve">Hard Disk Drive 16 TB - </t>
  </si>
  <si>
    <t xml:space="preserve">64 Channel 4K NVR, Non POE, 1U,
8HDDs up to 16TB, P2P remote
surveillance, maximum resolution of HDM is 4K, AI by Camera: Face detection,
perimeter protection, IVS, people counting. </t>
  </si>
  <si>
    <t>16port  PoE switch designed especially for the security industry.The switch provides 16 Gigabit Ethernet PoE ports and PoE management with high- speed data forwarding. The switch offers two Hi- PoE ports that deliver up to 60 W of power per port, and delivers up to 360 W of total power to PoE devices.</t>
  </si>
  <si>
    <t>27U FLOOR MOUNT RACK WITH WHEELS</t>
  </si>
  <si>
    <t>18U FLOOR MOUNT RACK WITH WHEELS</t>
  </si>
  <si>
    <t>23.8 inch Monitor</t>
  </si>
  <si>
    <t>32 inch Monitor</t>
  </si>
  <si>
    <t>dell optiplex with 8gb ram and 512ssd</t>
  </si>
  <si>
    <t>4mp kpoi camera</t>
  </si>
  <si>
    <t>kpoi camera lens</t>
  </si>
  <si>
    <t>16ch nvr for kpoi camera</t>
  </si>
  <si>
    <t>8tb hard disk</t>
  </si>
  <si>
    <t>hanging stand for kpoi camera</t>
  </si>
  <si>
    <t>4mp ANPR bullet camera</t>
  </si>
  <si>
    <t>16ch nvr for ANPR cameras</t>
  </si>
  <si>
    <t>4tb hard disk</t>
  </si>
  <si>
    <t>POLE MOUNT FOR ANPR CAMERAS</t>
  </si>
  <si>
    <t>1.5MTR POLE</t>
  </si>
  <si>
    <t>HIK-CENTRAL BASE LICENSE</t>
  </si>
  <si>
    <t>HIKCENTRAL P-ANPR 1-CH LICENSE</t>
  </si>
  <si>
    <t>2KVA Rack-Type Online UPS</t>
  </si>
  <si>
    <t>48V Battery cabinet with built-in 8 battery, used for 2K UPS</t>
  </si>
  <si>
    <t>1KVA RACK TYPE ONLINE UPS</t>
  </si>
  <si>
    <t>BATTERY FOR 1KVA UPS</t>
  </si>
  <si>
    <t>BULLET CAMERA BASE BOX/STAND</t>
  </si>
  <si>
    <t>WALL MOUNT CAMERA STAND</t>
  </si>
  <si>
    <t>PDU FOR RACK</t>
  </si>
  <si>
    <t>PATCH PANEL</t>
  </si>
  <si>
    <t>CABLE MANAGER</t>
  </si>
  <si>
    <t>PATCH CORD</t>
  </si>
  <si>
    <t>ACCESS CONTROL WITH LOCK AND PUSH BUTTON</t>
  </si>
  <si>
    <t>DSA AND DIA, DRAWING , DOCUMENT AND APPROVALS WITH ONE YEAR AMC</t>
  </si>
  <si>
    <t>MOHAMMED AQEEB</t>
  </si>
  <si>
    <t>PROJECT ENGINEER</t>
  </si>
  <si>
    <t>4.Any changes or addition of cameras as recommended by moi will be qouted separetly</t>
  </si>
  <si>
    <t>5.Any civil , mechanical and electrical work if any will be charged accordingly</t>
  </si>
  <si>
    <t>6. Materials prices may vary at the time of installation due to current regional situation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</si>
</sst>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9"/>
      <name val="Times New Roman"/>
      <family val="1"/>
    </font>
    <font>
      <sz val="9"/>
      <color theme="1"/>
      <name val="Calibri"/>
      <family val="2"/>
      <scheme val="minor"/>
    </font>
    <font>
      <sz val="14"/>
      <name val="Microsoft Sans Serif"/>
      <family val="2"/>
    </font>
    <font>
      <b/>
      <sz val="14"/>
      <color rgb="FF000000"/>
      <name val="Arial"/>
      <family val="2"/>
    </font>
    <font>
      <b/>
      <sz val="14"/>
      <color rgb="FF00AF50"/>
      <name val="Arial"/>
      <family val="2"/>
    </font>
    <font>
      <b/>
      <sz val="9"/>
      <name val="Arial"/>
      <family val="2"/>
    </font>
    <font>
      <b/>
      <sz val="9"/>
      <color rgb="FF202020"/>
      <name val="Arial"/>
      <family val="2"/>
    </font>
    <font>
      <sz val="9"/>
      <color rgb="FF000000"/>
      <name val="Microsoft Sans Serif"/>
      <family val="2"/>
    </font>
    <font>
      <b/>
      <sz val="9"/>
      <color theme="1"/>
      <name val="Calibri"/>
      <family val="2"/>
      <scheme val="minor"/>
    </font>
    <font>
      <sz val="8"/>
      <name val="Times New Roman"/>
      <family val="1"/>
    </font>
    <font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FEF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5" fillId="0" borderId="0" xfId="0" applyFont="1"/>
    <xf numFmtId="9" fontId="0" fillId="0" borderId="0" xfId="0" applyNumberFormat="1"/>
    <xf numFmtId="0" fontId="9" fillId="0" borderId="1" xfId="0" applyFont="1" applyFill="1" applyBorder="1" applyAlignment="1">
      <alignment horizontal="left" vertical="top" wrapText="1" indent="1"/>
    </xf>
    <xf numFmtId="0" fontId="9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left" vertical="top" wrapText="1"/>
    </xf>
    <xf numFmtId="1" fontId="11" fillId="0" borderId="1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2" fontId="11" fillId="0" borderId="1" xfId="0" applyNumberFormat="1" applyFont="1" applyFill="1" applyBorder="1" applyAlignment="1">
      <alignment horizontal="center" vertical="center" shrinkToFit="1"/>
    </xf>
    <xf numFmtId="0" fontId="13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9" fillId="0" borderId="5" xfId="0" applyFont="1" applyFill="1" applyBorder="1" applyAlignment="1">
      <alignment horizontal="left" vertical="top" wrapText="1" indent="1"/>
    </xf>
    <xf numFmtId="0" fontId="9" fillId="0" borderId="6" xfId="0" applyFont="1" applyFill="1" applyBorder="1" applyAlignment="1">
      <alignment horizontal="left" vertical="top" wrapText="1" indent="1"/>
    </xf>
    <xf numFmtId="0" fontId="0" fillId="0" borderId="5" xfId="0" applyFill="1" applyBorder="1" applyAlignment="1">
      <alignment horizontal="left" vertical="top" wrapText="1"/>
    </xf>
    <xf numFmtId="2" fontId="11" fillId="0" borderId="6" xfId="0" applyNumberFormat="1" applyFont="1" applyFill="1" applyBorder="1" applyAlignment="1">
      <alignment horizontal="center" vertical="center" shrinkToFit="1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4" fillId="0" borderId="1" xfId="0" applyFont="1" applyFill="1" applyBorder="1" applyAlignment="1">
      <alignment horizontal="left" wrapText="1"/>
    </xf>
    <xf numFmtId="0" fontId="5" fillId="0" borderId="5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4" fontId="3" fillId="0" borderId="5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 readingOrder="2"/>
    </xf>
    <xf numFmtId="0" fontId="3" fillId="0" borderId="1" xfId="0" applyFont="1" applyBorder="1" applyAlignment="1">
      <alignment vertical="center" wrapText="1" readingOrder="2"/>
    </xf>
    <xf numFmtId="0" fontId="3" fillId="0" borderId="6" xfId="0" applyFont="1" applyBorder="1" applyAlignment="1">
      <alignment vertical="center" wrapText="1" readingOrder="2"/>
    </xf>
    <xf numFmtId="0" fontId="5" fillId="0" borderId="5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6" fillId="0" borderId="5" xfId="0" applyFont="1" applyFill="1" applyBorder="1" applyAlignment="1">
      <alignment horizontal="right" vertical="top" wrapText="1"/>
    </xf>
    <xf numFmtId="0" fontId="6" fillId="0" borderId="1" xfId="0" applyFont="1" applyFill="1" applyBorder="1" applyAlignment="1">
      <alignment horizontal="right" vertical="top" wrapText="1"/>
    </xf>
    <xf numFmtId="2" fontId="8" fillId="0" borderId="1" xfId="0" applyNumberFormat="1" applyFont="1" applyFill="1" applyBorder="1" applyAlignment="1">
      <alignment horizontal="left" vertical="top" indent="6" shrinkToFit="1"/>
    </xf>
    <xf numFmtId="2" fontId="8" fillId="0" borderId="6" xfId="0" applyNumberFormat="1" applyFont="1" applyFill="1" applyBorder="1" applyAlignment="1">
      <alignment horizontal="left" vertical="top" indent="6" shrinkToFit="1"/>
    </xf>
    <xf numFmtId="0" fontId="6" fillId="2" borderId="5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2" fontId="7" fillId="2" borderId="1" xfId="0" applyNumberFormat="1" applyFont="1" applyFill="1" applyBorder="1" applyAlignment="1">
      <alignment horizontal="left" vertical="top" indent="6" shrinkToFit="1"/>
    </xf>
    <xf numFmtId="2" fontId="7" fillId="2" borderId="6" xfId="0" applyNumberFormat="1" applyFont="1" applyFill="1" applyBorder="1" applyAlignment="1">
      <alignment horizontal="left" vertical="top" indent="6" shrinkToFit="1"/>
    </xf>
    <xf numFmtId="2" fontId="7" fillId="0" borderId="1" xfId="0" applyNumberFormat="1" applyFont="1" applyFill="1" applyBorder="1" applyAlignment="1">
      <alignment horizontal="left" vertical="top" indent="6" shrinkToFit="1"/>
    </xf>
    <xf numFmtId="2" fontId="7" fillId="0" borderId="6" xfId="0" applyNumberFormat="1" applyFont="1" applyFill="1" applyBorder="1" applyAlignment="1">
      <alignment horizontal="left" vertical="top" indent="6" shrinkToFit="1"/>
    </xf>
    <xf numFmtId="0" fontId="14" fillId="0" borderId="10" xfId="0" applyFont="1" applyBorder="1" applyAlignment="1">
      <alignment horizontal="left" vertical="top" wrapText="1"/>
    </xf>
    <xf numFmtId="0" fontId="14" fillId="0" borderId="11" xfId="0" applyFont="1" applyBorder="1" applyAlignment="1">
      <alignment horizontal="left" vertical="top" wrapText="1"/>
    </xf>
    <xf numFmtId="0" fontId="14" fillId="0" borderId="1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fif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jpeg"/><Relationship Id="rId16" Type="http://schemas.openxmlformats.org/officeDocument/2006/relationships/image" Target="../media/image16.jfif"/><Relationship Id="rId20" Type="http://schemas.openxmlformats.org/officeDocument/2006/relationships/image" Target="../media/image20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jfif"/><Relationship Id="rId10" Type="http://schemas.openxmlformats.org/officeDocument/2006/relationships/image" Target="../media/image10.jp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114300</xdr:rowOff>
    </xdr:from>
    <xdr:to>
      <xdr:col>5</xdr:col>
      <xdr:colOff>523875</xdr:colOff>
      <xdr:row>0</xdr:row>
      <xdr:rowOff>1142999</xdr:rowOff>
    </xdr:to>
    <xdr:pic>
      <xdr:nvPicPr>
        <xdr:cNvPr id="23" name="image7.jpe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14300"/>
          <a:ext cx="5791200" cy="1028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298133</xdr:colOff>
      <xdr:row>6</xdr:row>
      <xdr:rowOff>36907</xdr:rowOff>
    </xdr:from>
    <xdr:ext cx="159068" cy="203202"/>
    <xdr:pic>
      <xdr:nvPicPr>
        <xdr:cNvPr id="48" name="image3.jpe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6133" y="3113482"/>
          <a:ext cx="159068" cy="203202"/>
        </a:xfrm>
        <a:prstGeom prst="rect">
          <a:avLst/>
        </a:prstGeom>
      </xdr:spPr>
    </xdr:pic>
    <xdr:clientData/>
  </xdr:oneCellAnchor>
  <xdr:oneCellAnchor>
    <xdr:from>
      <xdr:col>2</xdr:col>
      <xdr:colOff>49212</xdr:colOff>
      <xdr:row>5</xdr:row>
      <xdr:rowOff>285826</xdr:rowOff>
    </xdr:from>
    <xdr:ext cx="747853" cy="199949"/>
    <xdr:pic>
      <xdr:nvPicPr>
        <xdr:cNvPr id="49" name="image6.jpeg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4387" y="2428951"/>
          <a:ext cx="747853" cy="199949"/>
        </a:xfrm>
        <a:prstGeom prst="rect">
          <a:avLst/>
        </a:prstGeom>
      </xdr:spPr>
    </xdr:pic>
    <xdr:clientData/>
  </xdr:oneCellAnchor>
  <xdr:oneCellAnchor>
    <xdr:from>
      <xdr:col>2</xdr:col>
      <xdr:colOff>92729</xdr:colOff>
      <xdr:row>10</xdr:row>
      <xdr:rowOff>552165</xdr:rowOff>
    </xdr:from>
    <xdr:ext cx="612122" cy="135965"/>
    <xdr:pic>
      <xdr:nvPicPr>
        <xdr:cNvPr id="73" name="image9.jpeg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0729" y="5209890"/>
          <a:ext cx="612122" cy="135965"/>
        </a:xfrm>
        <a:prstGeom prst="rect">
          <a:avLst/>
        </a:prstGeom>
      </xdr:spPr>
    </xdr:pic>
    <xdr:clientData/>
  </xdr:oneCellAnchor>
  <xdr:oneCellAnchor>
    <xdr:from>
      <xdr:col>0</xdr:col>
      <xdr:colOff>124841</xdr:colOff>
      <xdr:row>40</xdr:row>
      <xdr:rowOff>61023</xdr:rowOff>
    </xdr:from>
    <xdr:ext cx="425080" cy="201168"/>
    <xdr:pic>
      <xdr:nvPicPr>
        <xdr:cNvPr id="74" name="image11.jpeg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841" y="6128448"/>
          <a:ext cx="425080" cy="201168"/>
        </a:xfrm>
        <a:prstGeom prst="rect">
          <a:avLst/>
        </a:prstGeom>
      </xdr:spPr>
    </xdr:pic>
    <xdr:clientData/>
  </xdr:oneCellAnchor>
  <xdr:oneCellAnchor>
    <xdr:from>
      <xdr:col>2</xdr:col>
      <xdr:colOff>209551</xdr:colOff>
      <xdr:row>40</xdr:row>
      <xdr:rowOff>123825</xdr:rowOff>
    </xdr:from>
    <xdr:ext cx="344228" cy="133350"/>
    <xdr:pic>
      <xdr:nvPicPr>
        <xdr:cNvPr id="75" name="image19.jpeg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1" y="6105525"/>
          <a:ext cx="344228" cy="133350"/>
        </a:xfrm>
        <a:prstGeom prst="rect">
          <a:avLst/>
        </a:prstGeom>
      </xdr:spPr>
    </xdr:pic>
    <xdr:clientData/>
  </xdr:oneCellAnchor>
  <xdr:twoCellAnchor editAs="oneCell">
    <xdr:from>
      <xdr:col>2</xdr:col>
      <xdr:colOff>219075</xdr:colOff>
      <xdr:row>8</xdr:row>
      <xdr:rowOff>257175</xdr:rowOff>
    </xdr:from>
    <xdr:to>
      <xdr:col>2</xdr:col>
      <xdr:colOff>571500</xdr:colOff>
      <xdr:row>8</xdr:row>
      <xdr:rowOff>614472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33700" y="4095750"/>
          <a:ext cx="352425" cy="357297"/>
        </a:xfrm>
        <a:prstGeom prst="rect">
          <a:avLst/>
        </a:prstGeom>
      </xdr:spPr>
    </xdr:pic>
    <xdr:clientData/>
  </xdr:twoCellAnchor>
  <xdr:oneCellAnchor>
    <xdr:from>
      <xdr:col>0</xdr:col>
      <xdr:colOff>28575</xdr:colOff>
      <xdr:row>6</xdr:row>
      <xdr:rowOff>66675</xdr:rowOff>
    </xdr:from>
    <xdr:ext cx="499472" cy="93561"/>
    <xdr:pic>
      <xdr:nvPicPr>
        <xdr:cNvPr id="14" name="image4.jpeg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3143250"/>
          <a:ext cx="499472" cy="93561"/>
        </a:xfrm>
        <a:prstGeom prst="rect">
          <a:avLst/>
        </a:prstGeom>
      </xdr:spPr>
    </xdr:pic>
    <xdr:clientData/>
  </xdr:oneCellAnchor>
  <xdr:twoCellAnchor editAs="oneCell">
    <xdr:from>
      <xdr:col>0</xdr:col>
      <xdr:colOff>38100</xdr:colOff>
      <xdr:row>5</xdr:row>
      <xdr:rowOff>295275</xdr:rowOff>
    </xdr:from>
    <xdr:to>
      <xdr:col>0</xdr:col>
      <xdr:colOff>545748</xdr:colOff>
      <xdr:row>5</xdr:row>
      <xdr:rowOff>523875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438400"/>
          <a:ext cx="507648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8</xdr:row>
      <xdr:rowOff>276225</xdr:rowOff>
    </xdr:from>
    <xdr:to>
      <xdr:col>0</xdr:col>
      <xdr:colOff>564798</xdr:colOff>
      <xdr:row>8</xdr:row>
      <xdr:rowOff>504825</xdr:rowOff>
    </xdr:to>
    <xdr:pic>
      <xdr:nvPicPr>
        <xdr:cNvPr id="1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3619500"/>
          <a:ext cx="507648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41910</xdr:colOff>
      <xdr:row>7</xdr:row>
      <xdr:rowOff>17145</xdr:rowOff>
    </xdr:from>
    <xdr:ext cx="507648" cy="228600"/>
    <xdr:pic>
      <xdr:nvPicPr>
        <xdr:cNvPr id="16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" y="3331845"/>
          <a:ext cx="507648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190500</xdr:colOff>
      <xdr:row>7</xdr:row>
      <xdr:rowOff>327660</xdr:rowOff>
    </xdr:from>
    <xdr:to>
      <xdr:col>2</xdr:col>
      <xdr:colOff>579120</xdr:colOff>
      <xdr:row>7</xdr:row>
      <xdr:rowOff>716280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2320" y="3642360"/>
          <a:ext cx="388620" cy="388620"/>
        </a:xfrm>
        <a:prstGeom prst="rect">
          <a:avLst/>
        </a:prstGeom>
      </xdr:spPr>
    </xdr:pic>
    <xdr:clientData/>
  </xdr:twoCellAnchor>
  <xdr:oneCellAnchor>
    <xdr:from>
      <xdr:col>0</xdr:col>
      <xdr:colOff>57150</xdr:colOff>
      <xdr:row>9</xdr:row>
      <xdr:rowOff>276225</xdr:rowOff>
    </xdr:from>
    <xdr:ext cx="507648" cy="2286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4543425"/>
          <a:ext cx="507648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137160</xdr:colOff>
      <xdr:row>9</xdr:row>
      <xdr:rowOff>144780</xdr:rowOff>
    </xdr:from>
    <xdr:to>
      <xdr:col>2</xdr:col>
      <xdr:colOff>723900</xdr:colOff>
      <xdr:row>9</xdr:row>
      <xdr:rowOff>731520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8980" y="5448300"/>
          <a:ext cx="586740" cy="586740"/>
        </a:xfrm>
        <a:prstGeom prst="rect">
          <a:avLst/>
        </a:prstGeom>
      </xdr:spPr>
    </xdr:pic>
    <xdr:clientData/>
  </xdr:twoCellAnchor>
  <xdr:oneCellAnchor>
    <xdr:from>
      <xdr:col>0</xdr:col>
      <xdr:colOff>57150</xdr:colOff>
      <xdr:row>10</xdr:row>
      <xdr:rowOff>390525</xdr:rowOff>
    </xdr:from>
    <xdr:ext cx="507648" cy="228600"/>
    <xdr:pic>
      <xdr:nvPicPr>
        <xdr:cNvPr id="19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532245"/>
          <a:ext cx="507648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57150</xdr:colOff>
      <xdr:row>11</xdr:row>
      <xdr:rowOff>70485</xdr:rowOff>
    </xdr:from>
    <xdr:ext cx="507648" cy="228600"/>
    <xdr:pic>
      <xdr:nvPicPr>
        <xdr:cNvPr id="18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7324725"/>
          <a:ext cx="507648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137160</xdr:colOff>
      <xdr:row>11</xdr:row>
      <xdr:rowOff>0</xdr:rowOff>
    </xdr:from>
    <xdr:to>
      <xdr:col>2</xdr:col>
      <xdr:colOff>563880</xdr:colOff>
      <xdr:row>12</xdr:row>
      <xdr:rowOff>22860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8980" y="7254240"/>
          <a:ext cx="426720" cy="426720"/>
        </a:xfrm>
        <a:prstGeom prst="rect">
          <a:avLst/>
        </a:prstGeom>
      </xdr:spPr>
    </xdr:pic>
    <xdr:clientData/>
  </xdr:twoCellAnchor>
  <xdr:oneCellAnchor>
    <xdr:from>
      <xdr:col>2</xdr:col>
      <xdr:colOff>137160</xdr:colOff>
      <xdr:row>12</xdr:row>
      <xdr:rowOff>0</xdr:rowOff>
    </xdr:from>
    <xdr:ext cx="426720" cy="426720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8980" y="7254240"/>
          <a:ext cx="426720" cy="42672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12</xdr:row>
      <xdr:rowOff>70485</xdr:rowOff>
    </xdr:from>
    <xdr:ext cx="507648" cy="228600"/>
    <xdr:pic>
      <xdr:nvPicPr>
        <xdr:cNvPr id="21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7324725"/>
          <a:ext cx="507648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83820</xdr:colOff>
      <xdr:row>13</xdr:row>
      <xdr:rowOff>281940</xdr:rowOff>
    </xdr:from>
    <xdr:ext cx="507648" cy="228600"/>
    <xdr:pic>
      <xdr:nvPicPr>
        <xdr:cNvPr id="22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8404860"/>
          <a:ext cx="507648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83820</xdr:colOff>
      <xdr:row>14</xdr:row>
      <xdr:rowOff>243840</xdr:rowOff>
    </xdr:from>
    <xdr:ext cx="507648" cy="228600"/>
    <xdr:pic>
      <xdr:nvPicPr>
        <xdr:cNvPr id="2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9121140"/>
          <a:ext cx="507648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27550</xdr:colOff>
      <xdr:row>13</xdr:row>
      <xdr:rowOff>83821</xdr:rowOff>
    </xdr:from>
    <xdr:to>
      <xdr:col>2</xdr:col>
      <xdr:colOff>926958</xdr:colOff>
      <xdr:row>13</xdr:row>
      <xdr:rowOff>701040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159370" y="8206741"/>
          <a:ext cx="899408" cy="617219"/>
        </a:xfrm>
        <a:prstGeom prst="rect">
          <a:avLst/>
        </a:prstGeom>
      </xdr:spPr>
    </xdr:pic>
    <xdr:clientData/>
  </xdr:twoCellAnchor>
  <xdr:twoCellAnchor editAs="oneCell">
    <xdr:from>
      <xdr:col>2</xdr:col>
      <xdr:colOff>60960</xdr:colOff>
      <xdr:row>14</xdr:row>
      <xdr:rowOff>45720</xdr:rowOff>
    </xdr:from>
    <xdr:to>
      <xdr:col>2</xdr:col>
      <xdr:colOff>1010370</xdr:colOff>
      <xdr:row>14</xdr:row>
      <xdr:rowOff>632460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192780" y="8923020"/>
          <a:ext cx="949410" cy="5867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205740</xdr:rowOff>
    </xdr:from>
    <xdr:to>
      <xdr:col>0</xdr:col>
      <xdr:colOff>658368</xdr:colOff>
      <xdr:row>15</xdr:row>
      <xdr:rowOff>617220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768840"/>
          <a:ext cx="658368" cy="411480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266701</xdr:colOff>
      <xdr:row>15</xdr:row>
      <xdr:rowOff>114300</xdr:rowOff>
    </xdr:from>
    <xdr:to>
      <xdr:col>2</xdr:col>
      <xdr:colOff>929641</xdr:colOff>
      <xdr:row>15</xdr:row>
      <xdr:rowOff>610865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8521" y="9677400"/>
          <a:ext cx="662940" cy="496565"/>
        </a:xfrm>
        <a:prstGeom prst="rect">
          <a:avLst/>
        </a:prstGeom>
      </xdr:spPr>
    </xdr:pic>
    <xdr:clientData/>
  </xdr:twoCellAnchor>
  <xdr:oneCellAnchor>
    <xdr:from>
      <xdr:col>0</xdr:col>
      <xdr:colOff>7620</xdr:colOff>
      <xdr:row>16</xdr:row>
      <xdr:rowOff>228600</xdr:rowOff>
    </xdr:from>
    <xdr:ext cx="507648" cy="228600"/>
    <xdr:pic>
      <xdr:nvPicPr>
        <xdr:cNvPr id="27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10477500"/>
          <a:ext cx="507648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251460</xdr:rowOff>
    </xdr:from>
    <xdr:ext cx="507648" cy="228600"/>
    <xdr:pic>
      <xdr:nvPicPr>
        <xdr:cNvPr id="28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86160"/>
          <a:ext cx="507648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198120</xdr:colOff>
      <xdr:row>16</xdr:row>
      <xdr:rowOff>60960</xdr:rowOff>
    </xdr:from>
    <xdr:to>
      <xdr:col>2</xdr:col>
      <xdr:colOff>989584</xdr:colOff>
      <xdr:row>16</xdr:row>
      <xdr:rowOff>640080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2340" y="10309860"/>
          <a:ext cx="791464" cy="579120"/>
        </a:xfrm>
        <a:prstGeom prst="rect">
          <a:avLst/>
        </a:prstGeom>
      </xdr:spPr>
    </xdr:pic>
    <xdr:clientData/>
  </xdr:twoCellAnchor>
  <xdr:twoCellAnchor editAs="oneCell">
    <xdr:from>
      <xdr:col>2</xdr:col>
      <xdr:colOff>320041</xdr:colOff>
      <xdr:row>17</xdr:row>
      <xdr:rowOff>45721</xdr:rowOff>
    </xdr:from>
    <xdr:to>
      <xdr:col>2</xdr:col>
      <xdr:colOff>861061</xdr:colOff>
      <xdr:row>17</xdr:row>
      <xdr:rowOff>586741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1861" y="10980421"/>
          <a:ext cx="541020" cy="541020"/>
        </a:xfrm>
        <a:prstGeom prst="rect">
          <a:avLst/>
        </a:prstGeom>
      </xdr:spPr>
    </xdr:pic>
    <xdr:clientData/>
  </xdr:twoCellAnchor>
  <xdr:oneCellAnchor>
    <xdr:from>
      <xdr:col>0</xdr:col>
      <xdr:colOff>7620</xdr:colOff>
      <xdr:row>18</xdr:row>
      <xdr:rowOff>205740</xdr:rowOff>
    </xdr:from>
    <xdr:ext cx="507648" cy="228600"/>
    <xdr:pic>
      <xdr:nvPicPr>
        <xdr:cNvPr id="31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11826240"/>
          <a:ext cx="507648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68580</xdr:colOff>
      <xdr:row>19</xdr:row>
      <xdr:rowOff>160020</xdr:rowOff>
    </xdr:from>
    <xdr:ext cx="499472" cy="152400"/>
    <xdr:pic>
      <xdr:nvPicPr>
        <xdr:cNvPr id="32" name="image4.jpeg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12466320"/>
          <a:ext cx="499472" cy="152400"/>
        </a:xfrm>
        <a:prstGeom prst="rect">
          <a:avLst/>
        </a:prstGeom>
      </xdr:spPr>
    </xdr:pic>
    <xdr:clientData/>
  </xdr:oneCellAnchor>
  <xdr:oneCellAnchor>
    <xdr:from>
      <xdr:col>2</xdr:col>
      <xdr:colOff>182880</xdr:colOff>
      <xdr:row>18</xdr:row>
      <xdr:rowOff>213360</xdr:rowOff>
    </xdr:from>
    <xdr:ext cx="747853" cy="199949"/>
    <xdr:pic>
      <xdr:nvPicPr>
        <xdr:cNvPr id="33" name="image6.jpeg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11833860"/>
          <a:ext cx="747853" cy="199949"/>
        </a:xfrm>
        <a:prstGeom prst="rect">
          <a:avLst/>
        </a:prstGeom>
      </xdr:spPr>
    </xdr:pic>
    <xdr:clientData/>
  </xdr:oneCellAnchor>
  <xdr:oneCellAnchor>
    <xdr:from>
      <xdr:col>2</xdr:col>
      <xdr:colOff>503873</xdr:colOff>
      <xdr:row>19</xdr:row>
      <xdr:rowOff>120727</xdr:rowOff>
    </xdr:from>
    <xdr:ext cx="159068" cy="203202"/>
    <xdr:pic>
      <xdr:nvPicPr>
        <xdr:cNvPr id="34" name="image3.jpe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5693" y="12427027"/>
          <a:ext cx="159068" cy="203202"/>
        </a:xfrm>
        <a:prstGeom prst="rect">
          <a:avLst/>
        </a:prstGeom>
      </xdr:spPr>
    </xdr:pic>
    <xdr:clientData/>
  </xdr:oneCellAnchor>
  <xdr:twoCellAnchor editAs="oneCell">
    <xdr:from>
      <xdr:col>2</xdr:col>
      <xdr:colOff>274320</xdr:colOff>
      <xdr:row>20</xdr:row>
      <xdr:rowOff>129540</xdr:rowOff>
    </xdr:from>
    <xdr:to>
      <xdr:col>2</xdr:col>
      <xdr:colOff>762000</xdr:colOff>
      <xdr:row>20</xdr:row>
      <xdr:rowOff>617220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3406140" y="12877800"/>
          <a:ext cx="487680" cy="487680"/>
        </a:xfrm>
        <a:prstGeom prst="rect">
          <a:avLst/>
        </a:prstGeom>
      </xdr:spPr>
    </xdr:pic>
    <xdr:clientData/>
  </xdr:twoCellAnchor>
  <xdr:oneCellAnchor>
    <xdr:from>
      <xdr:col>0</xdr:col>
      <xdr:colOff>7620</xdr:colOff>
      <xdr:row>21</xdr:row>
      <xdr:rowOff>205740</xdr:rowOff>
    </xdr:from>
    <xdr:ext cx="507648" cy="228600"/>
    <xdr:pic>
      <xdr:nvPicPr>
        <xdr:cNvPr id="36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11826240"/>
          <a:ext cx="507648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7620</xdr:colOff>
      <xdr:row>22</xdr:row>
      <xdr:rowOff>205740</xdr:rowOff>
    </xdr:from>
    <xdr:ext cx="507648" cy="228600"/>
    <xdr:pic>
      <xdr:nvPicPr>
        <xdr:cNvPr id="37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11826240"/>
          <a:ext cx="507648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182880</xdr:colOff>
      <xdr:row>22</xdr:row>
      <xdr:rowOff>213360</xdr:rowOff>
    </xdr:from>
    <xdr:ext cx="747853" cy="199949"/>
    <xdr:pic>
      <xdr:nvPicPr>
        <xdr:cNvPr id="38" name="image6.jpeg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11833860"/>
          <a:ext cx="747853" cy="199949"/>
        </a:xfrm>
        <a:prstGeom prst="rect">
          <a:avLst/>
        </a:prstGeom>
      </xdr:spPr>
    </xdr:pic>
    <xdr:clientData/>
  </xdr:oneCellAnchor>
  <xdr:twoCellAnchor editAs="oneCell">
    <xdr:from>
      <xdr:col>2</xdr:col>
      <xdr:colOff>144780</xdr:colOff>
      <xdr:row>21</xdr:row>
      <xdr:rowOff>99060</xdr:rowOff>
    </xdr:from>
    <xdr:to>
      <xdr:col>2</xdr:col>
      <xdr:colOff>975743</xdr:colOff>
      <xdr:row>21</xdr:row>
      <xdr:rowOff>563880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13533120"/>
          <a:ext cx="830963" cy="464820"/>
        </a:xfrm>
        <a:prstGeom prst="rect">
          <a:avLst/>
        </a:prstGeom>
      </xdr:spPr>
    </xdr:pic>
    <xdr:clientData/>
  </xdr:twoCellAnchor>
  <xdr:oneCellAnchor>
    <xdr:from>
      <xdr:col>0</xdr:col>
      <xdr:colOff>68580</xdr:colOff>
      <xdr:row>23</xdr:row>
      <xdr:rowOff>160020</xdr:rowOff>
    </xdr:from>
    <xdr:ext cx="499472" cy="152400"/>
    <xdr:pic>
      <xdr:nvPicPr>
        <xdr:cNvPr id="40" name="image4.jpeg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12466320"/>
          <a:ext cx="499472" cy="152400"/>
        </a:xfrm>
        <a:prstGeom prst="rect">
          <a:avLst/>
        </a:prstGeom>
      </xdr:spPr>
    </xdr:pic>
    <xdr:clientData/>
  </xdr:oneCellAnchor>
  <xdr:oneCellAnchor>
    <xdr:from>
      <xdr:col>2</xdr:col>
      <xdr:colOff>503873</xdr:colOff>
      <xdr:row>23</xdr:row>
      <xdr:rowOff>120727</xdr:rowOff>
    </xdr:from>
    <xdr:ext cx="159068" cy="203202"/>
    <xdr:pic>
      <xdr:nvPicPr>
        <xdr:cNvPr id="41" name="image3.jpe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5693" y="12427027"/>
          <a:ext cx="159068" cy="203202"/>
        </a:xfrm>
        <a:prstGeom prst="rect">
          <a:avLst/>
        </a:prstGeom>
      </xdr:spPr>
    </xdr:pic>
    <xdr:clientData/>
  </xdr:oneCellAnchor>
  <xdr:oneCellAnchor>
    <xdr:from>
      <xdr:col>0</xdr:col>
      <xdr:colOff>60960</xdr:colOff>
      <xdr:row>26</xdr:row>
      <xdr:rowOff>30480</xdr:rowOff>
    </xdr:from>
    <xdr:ext cx="507648" cy="228600"/>
    <xdr:pic>
      <xdr:nvPicPr>
        <xdr:cNvPr id="43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15918180"/>
          <a:ext cx="507648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27</xdr:row>
      <xdr:rowOff>53340</xdr:rowOff>
    </xdr:from>
    <xdr:ext cx="507648" cy="228600"/>
    <xdr:pic>
      <xdr:nvPicPr>
        <xdr:cNvPr id="44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6222980"/>
          <a:ext cx="507648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28</xdr:row>
      <xdr:rowOff>190501</xdr:rowOff>
    </xdr:from>
    <xdr:to>
      <xdr:col>0</xdr:col>
      <xdr:colOff>651424</xdr:colOff>
      <xdr:row>28</xdr:row>
      <xdr:rowOff>419101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42081"/>
          <a:ext cx="651424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342901</xdr:colOff>
      <xdr:row>28</xdr:row>
      <xdr:rowOff>53341</xdr:rowOff>
    </xdr:from>
    <xdr:to>
      <xdr:col>2</xdr:col>
      <xdr:colOff>878916</xdr:colOff>
      <xdr:row>28</xdr:row>
      <xdr:rowOff>579121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4721" y="16504921"/>
          <a:ext cx="536015" cy="52578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</xdr:row>
      <xdr:rowOff>45721</xdr:rowOff>
    </xdr:from>
    <xdr:to>
      <xdr:col>2</xdr:col>
      <xdr:colOff>914400</xdr:colOff>
      <xdr:row>30</xdr:row>
      <xdr:rowOff>2687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2820" y="17152621"/>
          <a:ext cx="685800" cy="581806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29</xdr:row>
      <xdr:rowOff>190501</xdr:rowOff>
    </xdr:from>
    <xdr:ext cx="651424" cy="228600"/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42081"/>
          <a:ext cx="651424" cy="228600"/>
        </a:xfrm>
        <a:prstGeom prst="rect">
          <a:avLst/>
        </a:prstGeom>
      </xdr:spPr>
    </xdr:pic>
    <xdr:clientData/>
  </xdr:oneCellAnchor>
  <xdr:oneCellAnchor>
    <xdr:from>
      <xdr:col>0</xdr:col>
      <xdr:colOff>7620</xdr:colOff>
      <xdr:row>30</xdr:row>
      <xdr:rowOff>213361</xdr:rowOff>
    </xdr:from>
    <xdr:ext cx="651424" cy="228600"/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17884141"/>
          <a:ext cx="651424" cy="2286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190501</xdr:rowOff>
    </xdr:from>
    <xdr:ext cx="651424" cy="228600"/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42081"/>
          <a:ext cx="651424" cy="228600"/>
        </a:xfrm>
        <a:prstGeom prst="rect">
          <a:avLst/>
        </a:prstGeom>
      </xdr:spPr>
    </xdr:pic>
    <xdr:clientData/>
  </xdr:oneCellAnchor>
  <xdr:oneCellAnchor>
    <xdr:from>
      <xdr:col>2</xdr:col>
      <xdr:colOff>220980</xdr:colOff>
      <xdr:row>30</xdr:row>
      <xdr:rowOff>609601</xdr:rowOff>
    </xdr:from>
    <xdr:ext cx="685800" cy="581806"/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17061181"/>
          <a:ext cx="685800" cy="581806"/>
        </a:xfrm>
        <a:prstGeom prst="rect">
          <a:avLst/>
        </a:prstGeom>
      </xdr:spPr>
    </xdr:pic>
    <xdr:clientData/>
  </xdr:oneCellAnchor>
  <xdr:oneCellAnchor>
    <xdr:from>
      <xdr:col>2</xdr:col>
      <xdr:colOff>342901</xdr:colOff>
      <xdr:row>30</xdr:row>
      <xdr:rowOff>53341</xdr:rowOff>
    </xdr:from>
    <xdr:ext cx="536015" cy="525780"/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1" y="16504921"/>
          <a:ext cx="536015" cy="525780"/>
        </a:xfrm>
        <a:prstGeom prst="rect">
          <a:avLst/>
        </a:prstGeom>
      </xdr:spPr>
    </xdr:pic>
    <xdr:clientData/>
  </xdr:oneCellAnchor>
  <xdr:oneCellAnchor>
    <xdr:from>
      <xdr:col>2</xdr:col>
      <xdr:colOff>220980</xdr:colOff>
      <xdr:row>30</xdr:row>
      <xdr:rowOff>609601</xdr:rowOff>
    </xdr:from>
    <xdr:ext cx="685800" cy="581806"/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17061181"/>
          <a:ext cx="685800" cy="58180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abSelected="1" topLeftCell="A37" zoomScaleNormal="100" workbookViewId="0">
      <selection activeCell="A47" sqref="A47:F47"/>
    </sheetView>
  </sheetViews>
  <sheetFormatPr defaultRowHeight="14.4" x14ac:dyDescent="0.3"/>
  <cols>
    <col min="1" max="1" width="11.33203125" customWidth="1"/>
    <col min="2" max="2" width="36.5546875" style="1" customWidth="1"/>
    <col min="3" max="3" width="16.21875" customWidth="1"/>
    <col min="4" max="4" width="4.109375" customWidth="1"/>
    <col min="5" max="5" width="11.33203125" customWidth="1"/>
    <col min="6" max="6" width="13.109375" customWidth="1"/>
  </cols>
  <sheetData>
    <row r="1" spans="1:6" ht="94.5" customHeight="1" x14ac:dyDescent="0.3">
      <c r="A1" s="44"/>
      <c r="B1" s="45"/>
      <c r="C1" s="45"/>
      <c r="D1" s="45"/>
      <c r="E1" s="45"/>
      <c r="F1" s="46"/>
    </row>
    <row r="2" spans="1:6" ht="25.5" customHeight="1" x14ac:dyDescent="0.3">
      <c r="A2" s="47">
        <v>46133</v>
      </c>
      <c r="B2" s="48"/>
      <c r="C2" s="48"/>
      <c r="D2" s="48"/>
      <c r="E2" s="48"/>
      <c r="F2" s="49"/>
    </row>
    <row r="3" spans="1:6" x14ac:dyDescent="0.3">
      <c r="A3" s="50" t="s">
        <v>17</v>
      </c>
      <c r="B3" s="51"/>
      <c r="C3" s="51"/>
      <c r="D3" s="51"/>
      <c r="E3" s="51"/>
      <c r="F3" s="52"/>
    </row>
    <row r="4" spans="1:6" x14ac:dyDescent="0.3">
      <c r="A4" s="50" t="s">
        <v>14</v>
      </c>
      <c r="B4" s="51"/>
      <c r="C4" s="51"/>
      <c r="D4" s="51"/>
      <c r="E4" s="51"/>
      <c r="F4" s="52"/>
    </row>
    <row r="5" spans="1:6" ht="18.75" customHeight="1" x14ac:dyDescent="0.3">
      <c r="A5" s="14" t="s">
        <v>3</v>
      </c>
      <c r="B5" s="4" t="s">
        <v>4</v>
      </c>
      <c r="C5" s="4" t="s">
        <v>5</v>
      </c>
      <c r="D5" s="4" t="s">
        <v>6</v>
      </c>
      <c r="E5" s="3" t="s">
        <v>7</v>
      </c>
      <c r="F5" s="15" t="s">
        <v>8</v>
      </c>
    </row>
    <row r="6" spans="1:6" ht="73.5" customHeight="1" x14ac:dyDescent="0.3">
      <c r="A6" s="16"/>
      <c r="B6" s="8" t="s">
        <v>22</v>
      </c>
      <c r="C6" s="5"/>
      <c r="D6" s="6">
        <v>1</v>
      </c>
      <c r="E6" s="11">
        <v>8700</v>
      </c>
      <c r="F6" s="17">
        <f>D6*E6</f>
        <v>8700</v>
      </c>
    </row>
    <row r="7" spans="1:6" ht="21" customHeight="1" x14ac:dyDescent="0.3">
      <c r="A7" s="16"/>
      <c r="B7" s="12" t="s">
        <v>21</v>
      </c>
      <c r="C7" s="7"/>
      <c r="D7" s="6">
        <v>8</v>
      </c>
      <c r="E7" s="11">
        <v>2100</v>
      </c>
      <c r="F7" s="17">
        <f>D7*E7</f>
        <v>16800</v>
      </c>
    </row>
    <row r="8" spans="1:6" ht="75" customHeight="1" x14ac:dyDescent="0.3">
      <c r="A8" s="16"/>
      <c r="B8" s="8" t="s">
        <v>19</v>
      </c>
      <c r="C8" s="7"/>
      <c r="D8" s="6">
        <v>11</v>
      </c>
      <c r="E8" s="11">
        <v>450</v>
      </c>
      <c r="F8" s="17">
        <f>D8*E8</f>
        <v>4950</v>
      </c>
    </row>
    <row r="9" spans="1:6" ht="81.75" customHeight="1" x14ac:dyDescent="0.3">
      <c r="A9" s="16"/>
      <c r="B9" s="8" t="s">
        <v>18</v>
      </c>
      <c r="C9" s="5"/>
      <c r="D9" s="6">
        <v>32</v>
      </c>
      <c r="E9" s="6">
        <v>300</v>
      </c>
      <c r="F9" s="17">
        <f t="shared" ref="F9:F41" si="0">D9*E9</f>
        <v>9600</v>
      </c>
    </row>
    <row r="10" spans="1:6" ht="66" customHeight="1" x14ac:dyDescent="0.3">
      <c r="A10" s="16"/>
      <c r="B10" s="8" t="s">
        <v>20</v>
      </c>
      <c r="C10" s="5"/>
      <c r="D10" s="6">
        <v>12</v>
      </c>
      <c r="E10" s="6">
        <v>350</v>
      </c>
      <c r="F10" s="17">
        <f t="shared" si="0"/>
        <v>4200</v>
      </c>
    </row>
    <row r="11" spans="1:6" ht="87.75" customHeight="1" x14ac:dyDescent="0.3">
      <c r="A11" s="16"/>
      <c r="B11" s="8" t="s">
        <v>23</v>
      </c>
      <c r="C11" s="5"/>
      <c r="D11" s="6">
        <v>4</v>
      </c>
      <c r="E11" s="11">
        <v>600</v>
      </c>
      <c r="F11" s="17">
        <f t="shared" si="0"/>
        <v>2400</v>
      </c>
    </row>
    <row r="12" spans="1:6" ht="31.8" customHeight="1" x14ac:dyDescent="0.3">
      <c r="A12" s="16"/>
      <c r="B12" s="20" t="s">
        <v>24</v>
      </c>
      <c r="C12" s="5"/>
      <c r="D12" s="6">
        <v>1</v>
      </c>
      <c r="E12" s="11">
        <v>1450</v>
      </c>
      <c r="F12" s="17">
        <f t="shared" si="0"/>
        <v>1450</v>
      </c>
    </row>
    <row r="13" spans="1:6" ht="36.6" customHeight="1" x14ac:dyDescent="0.3">
      <c r="A13" s="16"/>
      <c r="B13" s="20" t="s">
        <v>25</v>
      </c>
      <c r="C13" s="5"/>
      <c r="D13" s="6">
        <v>1</v>
      </c>
      <c r="E13" s="11">
        <v>1150</v>
      </c>
      <c r="F13" s="17">
        <f t="shared" si="0"/>
        <v>1150</v>
      </c>
    </row>
    <row r="14" spans="1:6" ht="59.4" customHeight="1" x14ac:dyDescent="0.3">
      <c r="A14" s="16"/>
      <c r="B14" s="20" t="s">
        <v>26</v>
      </c>
      <c r="C14" s="5"/>
      <c r="D14" s="6">
        <v>2</v>
      </c>
      <c r="E14" s="11">
        <v>445</v>
      </c>
      <c r="F14" s="17">
        <f t="shared" si="0"/>
        <v>890</v>
      </c>
    </row>
    <row r="15" spans="1:6" ht="54" customHeight="1" x14ac:dyDescent="0.3">
      <c r="A15" s="16"/>
      <c r="B15" s="20" t="s">
        <v>27</v>
      </c>
      <c r="C15" s="5"/>
      <c r="D15" s="6">
        <v>1</v>
      </c>
      <c r="E15" s="11">
        <v>950</v>
      </c>
      <c r="F15" s="17">
        <f t="shared" si="0"/>
        <v>950</v>
      </c>
    </row>
    <row r="16" spans="1:6" ht="54" customHeight="1" x14ac:dyDescent="0.3">
      <c r="A16" s="16"/>
      <c r="B16" s="20" t="s">
        <v>28</v>
      </c>
      <c r="C16" s="5"/>
      <c r="D16" s="6">
        <v>2</v>
      </c>
      <c r="E16" s="11">
        <v>3600</v>
      </c>
      <c r="F16" s="17">
        <f t="shared" ref="F16:F40" si="1">D16*E16</f>
        <v>7200</v>
      </c>
    </row>
    <row r="17" spans="1:6" ht="54" customHeight="1" x14ac:dyDescent="0.3">
      <c r="A17" s="16"/>
      <c r="B17" s="20" t="s">
        <v>29</v>
      </c>
      <c r="C17" s="5"/>
      <c r="D17" s="6">
        <v>5</v>
      </c>
      <c r="E17" s="11">
        <v>1750</v>
      </c>
      <c r="F17" s="17">
        <f t="shared" si="1"/>
        <v>8750</v>
      </c>
    </row>
    <row r="18" spans="1:6" ht="54" customHeight="1" x14ac:dyDescent="0.3">
      <c r="A18" s="16"/>
      <c r="B18" s="20" t="s">
        <v>30</v>
      </c>
      <c r="C18" s="5"/>
      <c r="D18" s="6">
        <v>5</v>
      </c>
      <c r="E18" s="11">
        <v>975</v>
      </c>
      <c r="F18" s="17">
        <f t="shared" si="1"/>
        <v>4875</v>
      </c>
    </row>
    <row r="19" spans="1:6" ht="54" customHeight="1" x14ac:dyDescent="0.3">
      <c r="A19" s="16"/>
      <c r="B19" s="20" t="s">
        <v>31</v>
      </c>
      <c r="C19" s="5"/>
      <c r="D19" s="6">
        <v>1</v>
      </c>
      <c r="E19" s="11">
        <v>4800</v>
      </c>
      <c r="F19" s="17">
        <f t="shared" si="1"/>
        <v>4800</v>
      </c>
    </row>
    <row r="20" spans="1:6" ht="34.799999999999997" customHeight="1" x14ac:dyDescent="0.3">
      <c r="A20" s="16"/>
      <c r="B20" s="20" t="s">
        <v>32</v>
      </c>
      <c r="C20" s="7"/>
      <c r="D20" s="6">
        <v>3</v>
      </c>
      <c r="E20" s="11">
        <v>1350</v>
      </c>
      <c r="F20" s="17">
        <f t="shared" si="1"/>
        <v>4050</v>
      </c>
    </row>
    <row r="21" spans="1:6" ht="54" customHeight="1" x14ac:dyDescent="0.3">
      <c r="A21" s="16"/>
      <c r="B21" s="20" t="s">
        <v>33</v>
      </c>
      <c r="C21" s="5"/>
      <c r="D21" s="6">
        <v>5</v>
      </c>
      <c r="E21" s="11">
        <v>145</v>
      </c>
      <c r="F21" s="17">
        <f t="shared" si="1"/>
        <v>725</v>
      </c>
    </row>
    <row r="22" spans="1:6" ht="54" customHeight="1" x14ac:dyDescent="0.3">
      <c r="A22" s="16"/>
      <c r="B22" s="20" t="s">
        <v>34</v>
      </c>
      <c r="C22" s="5"/>
      <c r="D22" s="6">
        <v>2</v>
      </c>
      <c r="E22" s="11">
        <v>2500</v>
      </c>
      <c r="F22" s="17">
        <f t="shared" si="1"/>
        <v>5000</v>
      </c>
    </row>
    <row r="23" spans="1:6" ht="54" customHeight="1" x14ac:dyDescent="0.3">
      <c r="A23" s="16"/>
      <c r="B23" s="20" t="s">
        <v>35</v>
      </c>
      <c r="C23" s="5"/>
      <c r="D23" s="6">
        <v>1</v>
      </c>
      <c r="E23" s="11">
        <v>4500</v>
      </c>
      <c r="F23" s="17">
        <f t="shared" si="1"/>
        <v>4500</v>
      </c>
    </row>
    <row r="24" spans="1:6" ht="36.6" customHeight="1" x14ac:dyDescent="0.3">
      <c r="A24" s="16"/>
      <c r="B24" s="20" t="s">
        <v>36</v>
      </c>
      <c r="C24" s="7"/>
      <c r="D24" s="6">
        <v>3</v>
      </c>
      <c r="E24" s="11">
        <v>800</v>
      </c>
      <c r="F24" s="17">
        <f t="shared" si="1"/>
        <v>2400</v>
      </c>
    </row>
    <row r="25" spans="1:6" ht="26.4" customHeight="1" x14ac:dyDescent="0.3">
      <c r="A25" s="16"/>
      <c r="B25" s="21" t="s">
        <v>37</v>
      </c>
      <c r="C25" s="5"/>
      <c r="D25" s="6">
        <v>2</v>
      </c>
      <c r="E25" s="11">
        <v>115</v>
      </c>
      <c r="F25" s="17">
        <f t="shared" si="1"/>
        <v>230</v>
      </c>
    </row>
    <row r="26" spans="1:6" ht="22.2" customHeight="1" x14ac:dyDescent="0.3">
      <c r="A26" s="16"/>
      <c r="B26" s="21" t="s">
        <v>38</v>
      </c>
      <c r="C26" s="5"/>
      <c r="D26" s="6">
        <v>2</v>
      </c>
      <c r="E26" s="11">
        <v>250</v>
      </c>
      <c r="F26" s="17">
        <f t="shared" si="1"/>
        <v>500</v>
      </c>
    </row>
    <row r="27" spans="1:6" ht="22.2" customHeight="1" x14ac:dyDescent="0.3">
      <c r="A27" s="16"/>
      <c r="B27" s="21" t="s">
        <v>39</v>
      </c>
      <c r="C27" s="5"/>
      <c r="D27" s="6">
        <v>1</v>
      </c>
      <c r="E27" s="11">
        <v>350</v>
      </c>
      <c r="F27" s="17">
        <f t="shared" si="1"/>
        <v>350</v>
      </c>
    </row>
    <row r="28" spans="1:6" ht="22.2" customHeight="1" x14ac:dyDescent="0.3">
      <c r="A28" s="16"/>
      <c r="B28" s="21" t="s">
        <v>40</v>
      </c>
      <c r="C28" s="5"/>
      <c r="D28" s="6">
        <v>2</v>
      </c>
      <c r="E28" s="11">
        <v>1150</v>
      </c>
      <c r="F28" s="17">
        <f t="shared" si="1"/>
        <v>2300</v>
      </c>
    </row>
    <row r="29" spans="1:6" ht="51.6" customHeight="1" x14ac:dyDescent="0.3">
      <c r="A29" s="16"/>
      <c r="B29" s="21" t="s">
        <v>41</v>
      </c>
      <c r="C29" s="5"/>
      <c r="D29" s="6">
        <v>1</v>
      </c>
      <c r="E29" s="11">
        <v>1450</v>
      </c>
      <c r="F29" s="17">
        <f t="shared" si="1"/>
        <v>1450</v>
      </c>
    </row>
    <row r="30" spans="1:6" ht="49.2" customHeight="1" x14ac:dyDescent="0.3">
      <c r="A30" s="16"/>
      <c r="B30" s="21" t="s">
        <v>42</v>
      </c>
      <c r="C30" s="5"/>
      <c r="D30" s="6">
        <v>2</v>
      </c>
      <c r="E30" s="11">
        <v>1100</v>
      </c>
      <c r="F30" s="17">
        <f t="shared" si="1"/>
        <v>2200</v>
      </c>
    </row>
    <row r="31" spans="1:6" ht="49.2" customHeight="1" x14ac:dyDescent="0.3">
      <c r="A31" s="16"/>
      <c r="B31" s="21" t="s">
        <v>43</v>
      </c>
      <c r="C31" s="5"/>
      <c r="D31" s="6">
        <v>1</v>
      </c>
      <c r="E31" s="11">
        <v>1200</v>
      </c>
      <c r="F31" s="17">
        <f t="shared" si="1"/>
        <v>1200</v>
      </c>
    </row>
    <row r="32" spans="1:6" ht="43.8" customHeight="1" x14ac:dyDescent="0.3">
      <c r="A32" s="16"/>
      <c r="B32" s="21" t="s">
        <v>44</v>
      </c>
      <c r="C32" s="5"/>
      <c r="D32" s="6">
        <v>1</v>
      </c>
      <c r="E32" s="11">
        <v>900</v>
      </c>
      <c r="F32" s="17">
        <f t="shared" si="1"/>
        <v>900</v>
      </c>
    </row>
    <row r="33" spans="1:7" ht="22.2" customHeight="1" x14ac:dyDescent="0.3">
      <c r="A33" s="16"/>
      <c r="B33" s="21" t="s">
        <v>45</v>
      </c>
      <c r="C33" s="5"/>
      <c r="D33" s="6">
        <v>12</v>
      </c>
      <c r="E33" s="11">
        <v>100</v>
      </c>
      <c r="F33" s="17">
        <f t="shared" si="1"/>
        <v>1200</v>
      </c>
    </row>
    <row r="34" spans="1:7" ht="22.2" customHeight="1" x14ac:dyDescent="0.3">
      <c r="A34" s="16"/>
      <c r="B34" s="21" t="s">
        <v>46</v>
      </c>
      <c r="C34" s="5"/>
      <c r="D34" s="6">
        <v>43</v>
      </c>
      <c r="E34" s="11">
        <v>100</v>
      </c>
      <c r="F34" s="17">
        <f t="shared" si="1"/>
        <v>4300</v>
      </c>
    </row>
    <row r="35" spans="1:7" ht="22.2" customHeight="1" x14ac:dyDescent="0.3">
      <c r="A35" s="16"/>
      <c r="B35" s="21" t="s">
        <v>47</v>
      </c>
      <c r="C35" s="5"/>
      <c r="D35" s="6">
        <v>2</v>
      </c>
      <c r="E35" s="11">
        <v>65</v>
      </c>
      <c r="F35" s="17">
        <f t="shared" si="1"/>
        <v>130</v>
      </c>
    </row>
    <row r="36" spans="1:7" ht="22.2" customHeight="1" x14ac:dyDescent="0.3">
      <c r="A36" s="16"/>
      <c r="B36" s="21" t="s">
        <v>48</v>
      </c>
      <c r="C36" s="5"/>
      <c r="D36" s="6">
        <v>3</v>
      </c>
      <c r="E36" s="11">
        <v>145</v>
      </c>
      <c r="F36" s="17">
        <f t="shared" si="1"/>
        <v>435</v>
      </c>
    </row>
    <row r="37" spans="1:7" ht="22.2" customHeight="1" x14ac:dyDescent="0.3">
      <c r="A37" s="16"/>
      <c r="B37" s="21" t="s">
        <v>49</v>
      </c>
      <c r="C37" s="5"/>
      <c r="D37" s="6">
        <v>3</v>
      </c>
      <c r="E37" s="11">
        <v>50</v>
      </c>
      <c r="F37" s="17">
        <f t="shared" si="1"/>
        <v>150</v>
      </c>
    </row>
    <row r="38" spans="1:7" ht="28.8" customHeight="1" x14ac:dyDescent="0.3">
      <c r="A38" s="16"/>
      <c r="B38" s="22" t="s">
        <v>50</v>
      </c>
      <c r="C38" s="5"/>
      <c r="D38" s="6">
        <v>62</v>
      </c>
      <c r="E38" s="11">
        <v>7</v>
      </c>
      <c r="F38" s="17">
        <f t="shared" si="1"/>
        <v>434</v>
      </c>
    </row>
    <row r="39" spans="1:7" ht="28.8" customHeight="1" x14ac:dyDescent="0.3">
      <c r="A39" s="16"/>
      <c r="B39" s="22" t="s">
        <v>51</v>
      </c>
      <c r="C39" s="5"/>
      <c r="D39" s="6">
        <v>1</v>
      </c>
      <c r="E39" s="11">
        <v>750</v>
      </c>
      <c r="F39" s="17">
        <f t="shared" si="1"/>
        <v>750</v>
      </c>
    </row>
    <row r="40" spans="1:7" ht="28.8" customHeight="1" x14ac:dyDescent="0.3">
      <c r="A40" s="16"/>
      <c r="B40" s="21" t="s">
        <v>52</v>
      </c>
      <c r="C40" s="5"/>
      <c r="D40" s="6">
        <v>1</v>
      </c>
      <c r="E40" s="11">
        <v>10000</v>
      </c>
      <c r="F40" s="17">
        <f t="shared" si="1"/>
        <v>10000</v>
      </c>
    </row>
    <row r="41" spans="1:7" ht="22.5" customHeight="1" x14ac:dyDescent="0.3">
      <c r="A41" s="16"/>
      <c r="B41" s="9" t="s">
        <v>16</v>
      </c>
      <c r="C41" s="9"/>
      <c r="D41" s="10">
        <v>62</v>
      </c>
      <c r="E41" s="10">
        <v>400</v>
      </c>
      <c r="F41" s="17">
        <f t="shared" si="0"/>
        <v>24800</v>
      </c>
    </row>
    <row r="42" spans="1:7" ht="18" x14ac:dyDescent="0.3">
      <c r="A42" s="56" t="s">
        <v>0</v>
      </c>
      <c r="B42" s="57"/>
      <c r="C42" s="57"/>
      <c r="D42" s="64">
        <f>SUM(F6:F41)</f>
        <v>144719</v>
      </c>
      <c r="E42" s="64"/>
      <c r="F42" s="65"/>
    </row>
    <row r="43" spans="1:7" ht="18" x14ac:dyDescent="0.3">
      <c r="A43" s="56" t="s">
        <v>1</v>
      </c>
      <c r="B43" s="57"/>
      <c r="C43" s="57"/>
      <c r="D43" s="58">
        <v>2719</v>
      </c>
      <c r="E43" s="58"/>
      <c r="F43" s="59"/>
      <c r="G43" s="2"/>
    </row>
    <row r="44" spans="1:7" ht="18" x14ac:dyDescent="0.3">
      <c r="A44" s="60" t="s">
        <v>2</v>
      </c>
      <c r="B44" s="61"/>
      <c r="C44" s="61"/>
      <c r="D44" s="62">
        <f>D42-D43</f>
        <v>142000</v>
      </c>
      <c r="E44" s="62"/>
      <c r="F44" s="63"/>
    </row>
    <row r="45" spans="1:7" x14ac:dyDescent="0.3">
      <c r="A45" s="53" t="s">
        <v>9</v>
      </c>
      <c r="B45" s="54"/>
      <c r="C45" s="54"/>
      <c r="D45" s="54"/>
      <c r="E45" s="54"/>
      <c r="F45" s="55"/>
    </row>
    <row r="46" spans="1:7" ht="33.75" customHeight="1" x14ac:dyDescent="0.3">
      <c r="A46" s="23" t="s">
        <v>13</v>
      </c>
      <c r="B46" s="24"/>
      <c r="C46" s="24"/>
      <c r="D46" s="24"/>
      <c r="E46" s="24"/>
      <c r="F46" s="25"/>
    </row>
    <row r="47" spans="1:7" ht="15" customHeight="1" x14ac:dyDescent="0.3">
      <c r="A47" s="23" t="s">
        <v>15</v>
      </c>
      <c r="B47" s="24"/>
      <c r="C47" s="24"/>
      <c r="D47" s="24"/>
      <c r="E47" s="24"/>
      <c r="F47" s="25"/>
    </row>
    <row r="48" spans="1:7" ht="15" customHeight="1" x14ac:dyDescent="0.3">
      <c r="A48" s="41" t="s">
        <v>55</v>
      </c>
      <c r="B48" s="42"/>
      <c r="C48" s="42"/>
      <c r="D48" s="42"/>
      <c r="E48" s="42"/>
      <c r="F48" s="43"/>
    </row>
    <row r="49" spans="1:6" ht="15" customHeight="1" x14ac:dyDescent="0.3">
      <c r="A49" s="41" t="s">
        <v>56</v>
      </c>
      <c r="B49" s="42"/>
      <c r="C49" s="42"/>
      <c r="D49" s="42"/>
      <c r="E49" s="42"/>
      <c r="F49" s="43"/>
    </row>
    <row r="50" spans="1:6" ht="15" customHeight="1" x14ac:dyDescent="0.3">
      <c r="A50" s="66" t="s">
        <v>57</v>
      </c>
      <c r="B50" s="67"/>
      <c r="C50" s="67"/>
      <c r="D50" s="67"/>
      <c r="E50" s="67"/>
      <c r="F50" s="68"/>
    </row>
    <row r="51" spans="1:6" x14ac:dyDescent="0.3">
      <c r="A51" s="18" t="s">
        <v>10</v>
      </c>
      <c r="B51" s="13"/>
      <c r="C51" s="13"/>
      <c r="D51" s="13"/>
      <c r="E51" s="13"/>
      <c r="F51" s="19"/>
    </row>
    <row r="52" spans="1:6" ht="20.25" customHeight="1" x14ac:dyDescent="0.3">
      <c r="A52" s="35" t="s">
        <v>11</v>
      </c>
      <c r="B52" s="36"/>
      <c r="C52" s="36"/>
      <c r="D52" s="36"/>
      <c r="E52" s="36"/>
      <c r="F52" s="37"/>
    </row>
    <row r="53" spans="1:6" ht="32.25" customHeight="1" x14ac:dyDescent="0.3">
      <c r="A53" s="38" t="s">
        <v>12</v>
      </c>
      <c r="B53" s="39"/>
      <c r="C53" s="39"/>
      <c r="D53" s="39"/>
      <c r="E53" s="39"/>
      <c r="F53" s="40"/>
    </row>
    <row r="54" spans="1:6" x14ac:dyDescent="0.3">
      <c r="A54" s="32"/>
      <c r="B54" s="33"/>
      <c r="C54" s="33" t="s">
        <v>53</v>
      </c>
      <c r="D54" s="33"/>
      <c r="E54" s="33"/>
      <c r="F54" s="34"/>
    </row>
    <row r="55" spans="1:6" x14ac:dyDescent="0.3">
      <c r="A55" s="32"/>
      <c r="B55" s="33"/>
      <c r="C55" s="33" t="s">
        <v>54</v>
      </c>
      <c r="D55" s="33"/>
      <c r="E55" s="33"/>
      <c r="F55" s="34"/>
    </row>
    <row r="56" spans="1:6" x14ac:dyDescent="0.3">
      <c r="A56" s="26"/>
      <c r="B56" s="27"/>
      <c r="C56" s="27"/>
      <c r="D56" s="27"/>
      <c r="E56" s="27"/>
      <c r="F56" s="28"/>
    </row>
    <row r="57" spans="1:6" ht="15" thickBot="1" x14ac:dyDescent="0.35">
      <c r="A57" s="29"/>
      <c r="B57" s="30"/>
      <c r="C57" s="30"/>
      <c r="D57" s="30"/>
      <c r="E57" s="30"/>
      <c r="F57" s="31"/>
    </row>
  </sheetData>
  <mergeCells count="23">
    <mergeCell ref="A1:F1"/>
    <mergeCell ref="A2:F2"/>
    <mergeCell ref="A3:F3"/>
    <mergeCell ref="A4:F4"/>
    <mergeCell ref="A45:F45"/>
    <mergeCell ref="A43:C43"/>
    <mergeCell ref="D43:F43"/>
    <mergeCell ref="A44:C44"/>
    <mergeCell ref="D44:F44"/>
    <mergeCell ref="A42:C42"/>
    <mergeCell ref="D42:F42"/>
    <mergeCell ref="A46:F46"/>
    <mergeCell ref="A47:F47"/>
    <mergeCell ref="A56:F57"/>
    <mergeCell ref="A54:B55"/>
    <mergeCell ref="F54:F55"/>
    <mergeCell ref="A52:F52"/>
    <mergeCell ref="C55:E55"/>
    <mergeCell ref="C54:E54"/>
    <mergeCell ref="A53:F53"/>
    <mergeCell ref="A48:F48"/>
    <mergeCell ref="A49:F49"/>
    <mergeCell ref="A50:F5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Ahed</dc:creator>
  <cp:lastModifiedBy>USER</cp:lastModifiedBy>
  <cp:lastPrinted>2026-05-07T09:40:26Z</cp:lastPrinted>
  <dcterms:created xsi:type="dcterms:W3CDTF">2020-08-26T06:27:19Z</dcterms:created>
  <dcterms:modified xsi:type="dcterms:W3CDTF">2026-05-30T12:58:47Z</dcterms:modified>
</cp:coreProperties>
</file>